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elinci\Downloads\Web_Steven\audio_match_api\"/>
    </mc:Choice>
  </mc:AlternateContent>
  <xr:revisionPtr revIDLastSave="0" documentId="13_ncr:1_{66CA0747-49AB-4DB7-A0D5-6663E9148966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Detail Justifikasi" sheetId="1" r:id="rId1"/>
    <sheet name="Kalkulasi Transparan" sheetId="2" r:id="rId2"/>
    <sheet name="Kalkulasi Transparan NDCG" sheetId="3" r:id="rId3"/>
  </sheets>
  <definedNames>
    <definedName name="_xlnm._FilterDatabase" localSheetId="0" hidden="1">'Detail Justifikasi'!$A$1:$F$151</definedName>
    <definedName name="_xlnm._FilterDatabase" localSheetId="1" hidden="1">'Kalkulasi Transparan'!$A$1:$L$31</definedName>
    <definedName name="_xlnm._FilterDatabase" localSheetId="2" hidden="1">'Kalkulasi Transparan NDCG'!$A$1:$Y$31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2" l="1"/>
  <c r="L2" i="2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2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2" i="3"/>
  <c r="V3" i="3"/>
  <c r="V4" i="3"/>
  <c r="AE3" i="3"/>
  <c r="AE4" i="3"/>
  <c r="AF3" i="3"/>
  <c r="AE2" i="3"/>
  <c r="AF2" i="3"/>
  <c r="O3" i="3"/>
  <c r="U3" i="3" s="1"/>
  <c r="O2" i="3"/>
  <c r="AN2" i="3"/>
  <c r="AM2" i="3"/>
  <c r="AL2" i="3"/>
  <c r="AK2" i="3"/>
  <c r="AJ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R31" i="3"/>
  <c r="R30" i="3"/>
  <c r="R29" i="3"/>
  <c r="R28" i="3"/>
  <c r="R27" i="3"/>
  <c r="R26" i="3"/>
  <c r="R25" i="3"/>
  <c r="R24" i="3"/>
  <c r="R23" i="3"/>
  <c r="R22" i="3"/>
  <c r="R21" i="3"/>
  <c r="R20" i="3"/>
  <c r="R19" i="3"/>
  <c r="R18" i="3"/>
  <c r="R17" i="3"/>
  <c r="R16" i="3"/>
  <c r="R15" i="3"/>
  <c r="R14" i="3"/>
  <c r="R13" i="3"/>
  <c r="R12" i="3"/>
  <c r="R11" i="3"/>
  <c r="R10" i="3"/>
  <c r="R9" i="3"/>
  <c r="R8" i="3"/>
  <c r="R7" i="3"/>
  <c r="R6" i="3"/>
  <c r="R5" i="3"/>
  <c r="R4" i="3"/>
  <c r="R3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S2" i="3"/>
  <c r="R2" i="3"/>
  <c r="Q2" i="3"/>
  <c r="O4" i="3"/>
  <c r="O5" i="3"/>
  <c r="O6" i="3"/>
  <c r="O7" i="3"/>
  <c r="O8" i="3"/>
  <c r="O9" i="3"/>
  <c r="T9" i="3" s="1"/>
  <c r="O10" i="3"/>
  <c r="O11" i="3"/>
  <c r="U11" i="3" s="1"/>
  <c r="O12" i="3"/>
  <c r="T12" i="3" s="1"/>
  <c r="O13" i="3"/>
  <c r="O14" i="3"/>
  <c r="O15" i="3"/>
  <c r="O16" i="3"/>
  <c r="O17" i="3"/>
  <c r="T17" i="3" s="1"/>
  <c r="O18" i="3"/>
  <c r="O19" i="3"/>
  <c r="U19" i="3" s="1"/>
  <c r="O20" i="3"/>
  <c r="T20" i="3" s="1"/>
  <c r="O21" i="3"/>
  <c r="O22" i="3"/>
  <c r="O23" i="3"/>
  <c r="O24" i="3"/>
  <c r="O25" i="3"/>
  <c r="T25" i="3" s="1"/>
  <c r="O26" i="3"/>
  <c r="O27" i="3"/>
  <c r="U27" i="3" s="1"/>
  <c r="O28" i="3"/>
  <c r="T28" i="3" s="1"/>
  <c r="O29" i="3"/>
  <c r="O30" i="3"/>
  <c r="O31" i="3"/>
  <c r="L31" i="3"/>
  <c r="K31" i="3"/>
  <c r="J31" i="3"/>
  <c r="I31" i="3"/>
  <c r="H31" i="3"/>
  <c r="L30" i="3"/>
  <c r="K30" i="3"/>
  <c r="J30" i="3"/>
  <c r="I30" i="3"/>
  <c r="H30" i="3"/>
  <c r="L29" i="3"/>
  <c r="K29" i="3"/>
  <c r="J29" i="3"/>
  <c r="I29" i="3"/>
  <c r="H29" i="3"/>
  <c r="L28" i="3"/>
  <c r="K28" i="3"/>
  <c r="J28" i="3"/>
  <c r="I28" i="3"/>
  <c r="H28" i="3"/>
  <c r="L27" i="3"/>
  <c r="K27" i="3"/>
  <c r="J27" i="3"/>
  <c r="I27" i="3"/>
  <c r="H27" i="3"/>
  <c r="L26" i="3"/>
  <c r="K26" i="3"/>
  <c r="J26" i="3"/>
  <c r="I26" i="3"/>
  <c r="H26" i="3"/>
  <c r="L25" i="3"/>
  <c r="K25" i="3"/>
  <c r="J25" i="3"/>
  <c r="I25" i="3"/>
  <c r="H25" i="3"/>
  <c r="L24" i="3"/>
  <c r="K24" i="3"/>
  <c r="J24" i="3"/>
  <c r="I24" i="3"/>
  <c r="H24" i="3"/>
  <c r="L23" i="3"/>
  <c r="K23" i="3"/>
  <c r="J23" i="3"/>
  <c r="I23" i="3"/>
  <c r="H23" i="3"/>
  <c r="L22" i="3"/>
  <c r="K22" i="3"/>
  <c r="J22" i="3"/>
  <c r="I22" i="3"/>
  <c r="H22" i="3"/>
  <c r="L21" i="3"/>
  <c r="K21" i="3"/>
  <c r="J21" i="3"/>
  <c r="I21" i="3"/>
  <c r="H21" i="3"/>
  <c r="L20" i="3"/>
  <c r="K20" i="3"/>
  <c r="J20" i="3"/>
  <c r="I20" i="3"/>
  <c r="H20" i="3"/>
  <c r="L19" i="3"/>
  <c r="K19" i="3"/>
  <c r="J19" i="3"/>
  <c r="I19" i="3"/>
  <c r="H19" i="3"/>
  <c r="L18" i="3"/>
  <c r="K18" i="3"/>
  <c r="J18" i="3"/>
  <c r="I18" i="3"/>
  <c r="H18" i="3"/>
  <c r="L17" i="3"/>
  <c r="K17" i="3"/>
  <c r="J17" i="3"/>
  <c r="I17" i="3"/>
  <c r="H17" i="3"/>
  <c r="L16" i="3"/>
  <c r="K16" i="3"/>
  <c r="J16" i="3"/>
  <c r="I16" i="3"/>
  <c r="H16" i="3"/>
  <c r="L15" i="3"/>
  <c r="K15" i="3"/>
  <c r="J15" i="3"/>
  <c r="I15" i="3"/>
  <c r="H15" i="3"/>
  <c r="L14" i="3"/>
  <c r="K14" i="3"/>
  <c r="J14" i="3"/>
  <c r="I14" i="3"/>
  <c r="H14" i="3"/>
  <c r="L13" i="3"/>
  <c r="K13" i="3"/>
  <c r="J13" i="3"/>
  <c r="I13" i="3"/>
  <c r="H13" i="3"/>
  <c r="L12" i="3"/>
  <c r="K12" i="3"/>
  <c r="J12" i="3"/>
  <c r="I12" i="3"/>
  <c r="H12" i="3"/>
  <c r="L11" i="3"/>
  <c r="K11" i="3"/>
  <c r="J11" i="3"/>
  <c r="I11" i="3"/>
  <c r="H11" i="3"/>
  <c r="L10" i="3"/>
  <c r="K10" i="3"/>
  <c r="J10" i="3"/>
  <c r="I10" i="3"/>
  <c r="H10" i="3"/>
  <c r="L9" i="3"/>
  <c r="K9" i="3"/>
  <c r="J9" i="3"/>
  <c r="I9" i="3"/>
  <c r="H9" i="3"/>
  <c r="L8" i="3"/>
  <c r="K8" i="3"/>
  <c r="J8" i="3"/>
  <c r="I8" i="3"/>
  <c r="H8" i="3"/>
  <c r="L7" i="3"/>
  <c r="K7" i="3"/>
  <c r="J7" i="3"/>
  <c r="I7" i="3"/>
  <c r="H7" i="3"/>
  <c r="L6" i="3"/>
  <c r="K6" i="3"/>
  <c r="J6" i="3"/>
  <c r="I6" i="3"/>
  <c r="H6" i="3"/>
  <c r="L5" i="3"/>
  <c r="K5" i="3"/>
  <c r="J5" i="3"/>
  <c r="I5" i="3"/>
  <c r="H5" i="3"/>
  <c r="L4" i="3"/>
  <c r="K4" i="3"/>
  <c r="J4" i="3"/>
  <c r="I4" i="3"/>
  <c r="H4" i="3"/>
  <c r="L3" i="3"/>
  <c r="K3" i="3"/>
  <c r="J3" i="3"/>
  <c r="I3" i="3"/>
  <c r="H3" i="3"/>
  <c r="L2" i="3"/>
  <c r="K2" i="3"/>
  <c r="J2" i="3"/>
  <c r="I2" i="3"/>
  <c r="H2" i="3"/>
  <c r="L31" i="2"/>
  <c r="J31" i="2"/>
  <c r="L30" i="2"/>
  <c r="J30" i="2"/>
  <c r="L29" i="2"/>
  <c r="J29" i="2"/>
  <c r="L28" i="2"/>
  <c r="J28" i="2"/>
  <c r="L27" i="2"/>
  <c r="J27" i="2"/>
  <c r="L26" i="2"/>
  <c r="J26" i="2"/>
  <c r="L25" i="2"/>
  <c r="J25" i="2"/>
  <c r="L24" i="2"/>
  <c r="J24" i="2"/>
  <c r="L23" i="2"/>
  <c r="J23" i="2"/>
  <c r="L22" i="2"/>
  <c r="J22" i="2"/>
  <c r="L21" i="2"/>
  <c r="J21" i="2"/>
  <c r="L20" i="2"/>
  <c r="J20" i="2"/>
  <c r="L19" i="2"/>
  <c r="J19" i="2"/>
  <c r="L18" i="2"/>
  <c r="J18" i="2"/>
  <c r="L17" i="2"/>
  <c r="J17" i="2"/>
  <c r="L16" i="2"/>
  <c r="J16" i="2"/>
  <c r="L15" i="2"/>
  <c r="J15" i="2"/>
  <c r="L14" i="2"/>
  <c r="J14" i="2"/>
  <c r="L13" i="2"/>
  <c r="J13" i="2"/>
  <c r="L12" i="2"/>
  <c r="J12" i="2"/>
  <c r="L11" i="2"/>
  <c r="J11" i="2"/>
  <c r="L10" i="2"/>
  <c r="J10" i="2"/>
  <c r="L9" i="2"/>
  <c r="J9" i="2"/>
  <c r="L8" i="2"/>
  <c r="J8" i="2"/>
  <c r="L7" i="2"/>
  <c r="J7" i="2"/>
  <c r="L6" i="2"/>
  <c r="J6" i="2"/>
  <c r="L5" i="2"/>
  <c r="J5" i="2"/>
  <c r="L4" i="2"/>
  <c r="J4" i="2"/>
  <c r="L3" i="2"/>
  <c r="J3" i="2"/>
  <c r="U30" i="3" l="1"/>
  <c r="U31" i="3"/>
  <c r="U23" i="3"/>
  <c r="U15" i="3"/>
  <c r="U7" i="3"/>
  <c r="U22" i="3"/>
  <c r="U14" i="3"/>
  <c r="U6" i="3"/>
  <c r="U29" i="3"/>
  <c r="U21" i="3"/>
  <c r="U13" i="3"/>
  <c r="U5" i="3"/>
  <c r="U4" i="3"/>
  <c r="U8" i="3"/>
  <c r="U16" i="3"/>
  <c r="U24" i="3"/>
  <c r="U26" i="3"/>
  <c r="U18" i="3"/>
  <c r="U10" i="3"/>
  <c r="U2" i="3"/>
  <c r="U9" i="3"/>
  <c r="U17" i="3"/>
  <c r="U25" i="3"/>
  <c r="U12" i="3"/>
  <c r="U20" i="3"/>
  <c r="U28" i="3"/>
  <c r="T4" i="3"/>
  <c r="T29" i="3"/>
  <c r="T21" i="3"/>
  <c r="T13" i="3"/>
  <c r="T5" i="3"/>
  <c r="T31" i="3"/>
  <c r="T23" i="3"/>
  <c r="T15" i="3"/>
  <c r="T7" i="3"/>
  <c r="T30" i="3"/>
  <c r="T22" i="3"/>
  <c r="T14" i="3"/>
  <c r="T6" i="3"/>
  <c r="T27" i="3"/>
  <c r="T19" i="3"/>
  <c r="T11" i="3"/>
  <c r="T3" i="3"/>
  <c r="T8" i="3"/>
  <c r="T16" i="3"/>
  <c r="T24" i="3"/>
  <c r="T26" i="3"/>
  <c r="T18" i="3"/>
  <c r="T10" i="3"/>
  <c r="T2" i="3"/>
  <c r="M9" i="3"/>
  <c r="M17" i="3"/>
  <c r="N2" i="3"/>
  <c r="N10" i="3"/>
  <c r="N18" i="3"/>
  <c r="N23" i="3"/>
  <c r="M25" i="3"/>
  <c r="N26" i="3"/>
  <c r="N31" i="3"/>
  <c r="N4" i="3"/>
  <c r="N12" i="3"/>
  <c r="N20" i="3"/>
  <c r="N28" i="3"/>
  <c r="M6" i="3"/>
  <c r="M14" i="3"/>
  <c r="M22" i="3"/>
  <c r="M30" i="3"/>
  <c r="N8" i="3"/>
  <c r="N16" i="3"/>
  <c r="M24" i="3"/>
  <c r="M5" i="3"/>
  <c r="M13" i="3"/>
  <c r="M21" i="3"/>
  <c r="M29" i="3"/>
  <c r="M18" i="3"/>
  <c r="M26" i="3"/>
  <c r="N7" i="3"/>
  <c r="N15" i="3"/>
  <c r="N9" i="3"/>
  <c r="M3" i="3"/>
  <c r="M11" i="3"/>
  <c r="M19" i="3"/>
  <c r="M27" i="3"/>
  <c r="N24" i="3"/>
  <c r="M8" i="3"/>
  <c r="M16" i="3"/>
  <c r="N17" i="3"/>
  <c r="N30" i="3"/>
  <c r="N22" i="3"/>
  <c r="N14" i="3"/>
  <c r="N6" i="3"/>
  <c r="M2" i="3"/>
  <c r="M10" i="3"/>
  <c r="N29" i="3"/>
  <c r="N21" i="3"/>
  <c r="N13" i="3"/>
  <c r="N5" i="3"/>
  <c r="N25" i="3"/>
  <c r="M4" i="3"/>
  <c r="M12" i="3"/>
  <c r="M20" i="3"/>
  <c r="M28" i="3"/>
  <c r="N27" i="3"/>
  <c r="N19" i="3"/>
  <c r="N11" i="3"/>
  <c r="N3" i="3"/>
  <c r="M7" i="3"/>
  <c r="M23" i="3"/>
  <c r="M31" i="3"/>
  <c r="M15" i="3"/>
</calcChain>
</file>

<file path=xl/sharedStrings.xml><?xml version="1.0" encoding="utf-8"?>
<sst xmlns="http://schemas.openxmlformats.org/spreadsheetml/2006/main" count="858" uniqueCount="438">
  <si>
    <t>ID</t>
  </si>
  <si>
    <t>Kueri</t>
  </si>
  <si>
    <t>Posisi</t>
  </si>
  <si>
    <t>Skor Relevansi</t>
  </si>
  <si>
    <t>Konten Dokumen</t>
  </si>
  <si>
    <t>Alasan Justifikasi</t>
  </si>
  <si>
    <t>K01</t>
  </si>
  <si>
    <t>amplifier 4 channel 75 watt cocok untuk berapa speaker?</t>
  </si>
  <si>
    <t>Produk: Head Unit Android 9 Inch</t>
  </si>
  <si>
    <t>Dokumen membahas Head Unit, tidak ada kaitan dengan kapasitas speaker amplifier.</t>
  </si>
  <si>
    <t>Produk: Kabel RCA 2 Channel High-End</t>
  </si>
  <si>
    <t>Hanya membahas media transmisi sinyal, bukan logika jumlah speaker.</t>
  </si>
  <si>
    <t>Artikel: Dasar Pemasangan Speaker Mobil</t>
  </si>
  <si>
    <t>Membahas konfigurasi dasar speaker, cukup membantu menjawab pertanyaan jumlah speaker.</t>
  </si>
  <si>
    <t>Artikel: Tips Memilih Peredam Suara</t>
  </si>
  <si>
    <t>Membahas akustik kabin, tidak relevan dengan pertanyaan teknis daya amplifier.</t>
  </si>
  <si>
    <t>Produk: Box Subwoofer 12 Inch Universal</t>
  </si>
  <si>
    <t>Membahas spesifikasi boks, bukan jumlah speaker pada amplifier 4 channel.</t>
  </si>
  <si>
    <t>K02</t>
  </si>
  <si>
    <t>berapa watt amplifier yang dibutuhkan untuk subwoofer 12 inch?</t>
  </si>
  <si>
    <t>Produk: Subwoofer JBL Stage 12 Inch</t>
  </si>
  <si>
    <t>Hanya katalog produk subwoofer, memberikan gambaran watt rata-rata (Relevan).</t>
  </si>
  <si>
    <t>Produk: Tweeter Dome Silk 1 Inch</t>
  </si>
  <si>
    <t>Membahas frekuensi tinggi, tidak ada kaitan dengan daya subwoofer.</t>
  </si>
  <si>
    <t>Artikel: Cara Pasang Head Unit Single Din</t>
  </si>
  <si>
    <t>Panduan instalasi unit utama, tidak relevan dengan kebutuhan watt subwoofer.</t>
  </si>
  <si>
    <t>Produk: Kabel Power AWG 4</t>
  </si>
  <si>
    <t>Membahas pengantar arus, bukan penentuan watt amplifier vs subwoofer.</t>
  </si>
  <si>
    <t>Artikel: Panduan Menghitung Kebutuhan Watt Amplifier untuk Subwoofer</t>
  </si>
  <si>
    <t>Dokumen teknis yang langsung menjawab cara memilih watt amplifier (Sangat Relevan).</t>
  </si>
  <si>
    <t>K03</t>
  </si>
  <si>
    <t>speaker impedansi 4 ohm bisa dipasang di amplifier 8 ohm?</t>
  </si>
  <si>
    <t>Artikel: Tips Membersihkan Interior Mobil</t>
  </si>
  <si>
    <t>Topik perawatan estetika, tidak relevan dengan impedansi listrik.</t>
  </si>
  <si>
    <t>Artikel: Dasar-dasar Impedansi Ohm pada Audio Mobil</t>
  </si>
  <si>
    <t>Menjelaskan teori ohm, memberikan jawaban dasar atas pertanyaan user (Relevan).</t>
  </si>
  <si>
    <t>Promo: Paket Audio Murah Rendy Audio</t>
  </si>
  <si>
    <t>Hanya iklan harga, tidak membahas teknis impedansi.</t>
  </si>
  <si>
    <t>Produk: Head Unit Double Din Sony</t>
  </si>
  <si>
    <t>Perangkat unit utama, tidak relevan dengan matching impedansi speaker.</t>
  </si>
  <si>
    <t>Produk: Aki Mobil 60 Ampere</t>
  </si>
  <si>
    <t>Membahas daya listrik mobil, bukan impedansi audio.</t>
  </si>
  <si>
    <t>K04</t>
  </si>
  <si>
    <t>cara setting gain amplifier agar speaker tidak distorsi</t>
  </si>
  <si>
    <t>Artikel: Panduan Langkah demi Langkah Cara Setting Gain Amplifier</t>
  </si>
  <si>
    <t>Menjawab langsung pertanyaan user dengan instruksi praktis (Sangat Relevan).</t>
  </si>
  <si>
    <t>Produk: Kabel Speaker Monster Cable</t>
  </si>
  <si>
    <t>Katalog produk kabel, tidak ada instruksi setting gain.</t>
  </si>
  <si>
    <t>Artikel: Apa Itu Distorsi dan Cara Menghindarinya</t>
  </si>
  <si>
    <t>Menjelaskan konsep distorsi, membantu user memahami alasan setting gain (Relevan).</t>
  </si>
  <si>
    <t>Produk: Subwoofer Aktif Kolong</t>
  </si>
  <si>
    <t>Produk subwoofer, tidak membahas cara setting gain amplifier eksternal.</t>
  </si>
  <si>
    <t>Produk: Antena Mobil Sirip Hiu</t>
  </si>
  <si>
    <t>Aksesori eksterior, tidak relevan sama sekali.</t>
  </si>
  <si>
    <t>K05</t>
  </si>
  <si>
    <t>bisa pasang 6 speaker ke amplifier 4 channel?</t>
  </si>
  <si>
    <t>Artikel: Teknik Wiring Seri dan Paralel Speaker</t>
  </si>
  <si>
    <t>Memberikan cara teknis untuk memasang speaker lebih dari jumlah channel (Relevan).</t>
  </si>
  <si>
    <t>Artikel: Batasan Beban Impedansi pada Power Amplifier</t>
  </si>
  <si>
    <t>Menjelaskan resiko pemasangan banyak speaker terhadap amplifier (Relevan).</t>
  </si>
  <si>
    <t>Produk: Head Unit Android 10 Inch</t>
  </si>
  <si>
    <t>Unit utama, tidak relevan dengan konfigurasi speaker.</t>
  </si>
  <si>
    <t>Produk: Kamera Parkir CCD</t>
  </si>
  <si>
    <t>Aksesori video, tidak relevan.</t>
  </si>
  <si>
    <t>Produk: Power Bank 10000mAh</t>
  </si>
  <si>
    <t>Barang elektronik umum di toko, tidak relevan.</t>
  </si>
  <si>
    <t>K06</t>
  </si>
  <si>
    <t>perbedaan RCA output 4V dan 2V pada head unit untuk amplifier</t>
  </si>
  <si>
    <t>Artikel: Mengenal Pre-Out Voltage pada Head Unit</t>
  </si>
  <si>
    <t>Menjelaskan apa itu voltase RCA (Relevan).</t>
  </si>
  <si>
    <t>Artikel: Hubungan Antara Tegangan RCA dan Setting Gain</t>
  </si>
  <si>
    <t>Menjelaskan efek perbedaan voltase terhadap suara (Relevan).</t>
  </si>
  <si>
    <t>Jasa: Instalasi Audio Profesional</t>
  </si>
  <si>
    <t>Penawaran layanan, tidak membahas perbedaan voltase.</t>
  </si>
  <si>
    <t>Produk: Tweeter Hertz C26</t>
  </si>
  <si>
    <t>Produk tweeter, tidak relevan dengan voltase RCA head unit.</t>
  </si>
  <si>
    <t>Artikel: Cara Menggunakan Equalizer 7 Band</t>
  </si>
  <si>
    <t>Panduan tuning frekuensi, tidak relevan dengan voltase.</t>
  </si>
  <si>
    <t>K07</t>
  </si>
  <si>
    <t>cara memilih crossover yang tepat untuk speaker component</t>
  </si>
  <si>
    <t>Produk: Amplifier Monoblock 1000 Watt</t>
  </si>
  <si>
    <t>Amplifier khusus subwoofer, tidak relevan dengan crossover speaker split.</t>
  </si>
  <si>
    <t>Artikel: Cara Memasang Peredam Aspal di Pintu</t>
  </si>
  <si>
    <t>Membahas isolasi suara, tidak relevan.</t>
  </si>
  <si>
    <t>Produk: Head Unit Pioneer AVH-Z5250BT</t>
  </si>
  <si>
    <t>Katalog unit utama, tidak relevan.</t>
  </si>
  <si>
    <t>Artikel: Fungsi dan Perbedaan Crossover Pasif vs Aktif</t>
  </si>
  <si>
    <t>Memberikan dasar pengetahuan untuk memilih crossover (Relevan).</t>
  </si>
  <si>
    <t>Tips: Cara Poles Lampu Mobil yang Buram</t>
  </si>
  <si>
    <t>Perawatan eksterior, tidak relevan.</t>
  </si>
  <si>
    <t>K08</t>
  </si>
  <si>
    <t>ukuran kabel power amplifier yang direkomendasikan</t>
  </si>
  <si>
    <t>Artikel: Tabel Ukuran Kabel AWG Berdasarkan Watt dan Panjang Kabel</t>
  </si>
  <si>
    <t>Menjawab langsung pertanyaan user dengan data tabel (Sangat Relevan).</t>
  </si>
  <si>
    <t>Produk: Speaker Coaxial Pioneer</t>
  </si>
  <si>
    <t>Katalog produk speaker, tidak relevan dengan kabel power.</t>
  </si>
  <si>
    <t>Produk: Subwoofer Kolong Aktif</t>
  </si>
  <si>
    <t>Katalog produk subwoofer, tidak relevan.</t>
  </si>
  <si>
    <t>Tips: Cara Memilih Asuransi Mobil</t>
  </si>
  <si>
    <t>Topik keuangan/umum, tidak relevan.</t>
  </si>
  <si>
    <t>Produk: Remote Stir Universal</t>
  </si>
  <si>
    <t>Aksesori kontrol, tidak relevan.</t>
  </si>
  <si>
    <t>P01</t>
  </si>
  <si>
    <t>pioneer DEH-S6250BT head unit</t>
  </si>
  <si>
    <t>Produk: Pioneer DEH-S6250BT - Spesifikasi dan Harga</t>
  </si>
  <si>
    <t>Sesuai dengan nama produk yang dicari user (Sangat Relevan).</t>
  </si>
  <si>
    <t>Produk: Pioneer DEH-S5250BT - Alternatif Seri S</t>
  </si>
  <si>
    <t>Seri yang mirip, memberikan opsi jika stok kosong (Relevan).</t>
  </si>
  <si>
    <t>Artikel: Cara Reset Head Unit Kenwood</t>
  </si>
  <si>
    <t>Membahas brand kompetitor, tidak relevan.</t>
  </si>
  <si>
    <t>Produk: Kabel AUX Jack 3.5mm</t>
  </si>
  <si>
    <t>Hanya aksesori kabel, bukan produk head unit yang dicari.</t>
  </si>
  <si>
    <t>Produk: Frame Head Unit Pioneer Universal</t>
  </si>
  <si>
    <t>Aksesori pendukung untuk produk yang dicari (Relevan).</t>
  </si>
  <si>
    <t>P02</t>
  </si>
  <si>
    <t>kenwood KDC-BT560U spesifikasi dan harga</t>
  </si>
  <si>
    <t>Produk: Kenwood KDC-BT560U - Katalog Harga</t>
  </si>
  <si>
    <t>Berisi informasi harga produk yang diminta (Relevan).</t>
  </si>
  <si>
    <t>Produk: Speaker JBL Club 6520</t>
  </si>
  <si>
    <t>Katalog produk speaker, tidak relevan.</t>
  </si>
  <si>
    <t>Tips: Cara Membersihkan Dashboard</t>
  </si>
  <si>
    <t>Perawatan interior, tidak relevan.</t>
  </si>
  <si>
    <t>Produk: Ban Bridgestone Turanza</t>
  </si>
  <si>
    <t>Produk ban, tidak relevan sama sekali.</t>
  </si>
  <si>
    <t>Produk: Klakson Denso Waterproof</t>
  </si>
  <si>
    <t>Aksesori mobil umum, tidak relevan.</t>
  </si>
  <si>
    <t>P03</t>
  </si>
  <si>
    <t>nakamichi na3605 fitur dan keunggulan</t>
  </si>
  <si>
    <t>Produk: Nakamichi NA3605 - Deskripsi Fitur Utama</t>
  </si>
  <si>
    <t>Menjelaskan fitur produk sesuai permintaan user (Relevan).</t>
  </si>
  <si>
    <t>Tips: Waktu yang Tepat Ganti Oli Mesin</t>
  </si>
  <si>
    <t>Pemeliharaan mesin, tidak relevan.</t>
  </si>
  <si>
    <t>Produk: Amplifier Alpine BBX-F1200</t>
  </si>
  <si>
    <t>Brand dan produk berbeda, tidak relevan.</t>
  </si>
  <si>
    <t>Informasi: Daftar Bengkel Audio Rekanan Rendy Audio</t>
  </si>
  <si>
    <t>Informasi layanan, tidak membahas produk Nakamichi.</t>
  </si>
  <si>
    <t>Artikel: Sejarah Berdirinya Brand Nakamichi</t>
  </si>
  <si>
    <t>Informasi sejarah, tidak menjawab fitur teknis produk.</t>
  </si>
  <si>
    <t>P04</t>
  </si>
  <si>
    <t>hertz dieci speaker component DCX 165.3</t>
  </si>
  <si>
    <t>Produk: Hertz Seri Dieci - Overview Produk</t>
  </si>
  <si>
    <t>Membahas seri produk yang dicari secara umum (Relevan).</t>
  </si>
  <si>
    <t>Produk: Hertz DCX 165.3 - Spesifikasi Detail</t>
  </si>
  <si>
    <t>Hasil paling presisi sesuai tipe yang dicari user (Sangat Relevan).</t>
  </si>
  <si>
    <t>Produk: Set Relay Lampu Depan</t>
  </si>
  <si>
    <t>Katalog aksesori listrik umum, tidak relevan.</t>
  </si>
  <si>
    <t>Produk: Hertz DCX 100.3 - Varian Ukuran Lain</t>
  </si>
  <si>
    <t>Varian lain dari seri yang sama (Relevan).</t>
  </si>
  <si>
    <t>Produk: Sony XAV-1500 Head Unit</t>
  </si>
  <si>
    <t>Unit utama, tidak relevan dengan speaker Hertz.</t>
  </si>
  <si>
    <t>P05</t>
  </si>
  <si>
    <t>JVC KD-X371BT head unit bluetooth</t>
  </si>
  <si>
    <t>Produk: JVC KD-X371BT - Manual dan Spesifikasi</t>
  </si>
  <si>
    <t>Hasil paling tepat untuk tipe produk yang dicari (Sangat Relevan).</t>
  </si>
  <si>
    <t>Produk: Sensor Parkir 4 Titik</t>
  </si>
  <si>
    <t>Aksesori parkir, tidak relevan.</t>
  </si>
  <si>
    <t>Produk: Parfum Mobil Aroma Kopi</t>
  </si>
  <si>
    <t>Aksesori umum, tidak relevan.</t>
  </si>
  <si>
    <t>Artikel: Cara Menghubungkan Bluetooth pada Head Unit JVC</t>
  </si>
  <si>
    <t>Memberikan panduan fitur bluetooth sesuai produk yang dicari (Relevan).</t>
  </si>
  <si>
    <t>Produk: Dashcam Xiaomi 70mai</t>
  </si>
  <si>
    <t>P06</t>
  </si>
  <si>
    <t>subwoofer rockford fosgate punch p3</t>
  </si>
  <si>
    <t>Produk: Rockford Fosgate Punch P3 - Spesifikasi</t>
  </si>
  <si>
    <t>Dokumen produk yang dicari secara tepat (Sangat Relevan).</t>
  </si>
  <si>
    <t>Artikel: Panduan Ukuran Box untuk Subwoofer Punch P3</t>
  </si>
  <si>
    <t>Informasi tambahan yang sangat berguna untuk produk tersebut (Sangat Relevan).</t>
  </si>
  <si>
    <t>Produk: Knalpot Racing Universal</t>
  </si>
  <si>
    <t>Aksesori mesin, tidak relevan.</t>
  </si>
  <si>
    <t>Tips: Cara Menghemat BBM</t>
  </si>
  <si>
    <t>Informasi umum, tidak relevan.</t>
  </si>
  <si>
    <t>Produk: Rockford Fosgate R165X3</t>
  </si>
  <si>
    <t>Produk lain dari brand yang sama (Relevan).</t>
  </si>
  <si>
    <t>P07</t>
  </si>
  <si>
    <t>tweeter JL Audio C1 075ct</t>
  </si>
  <si>
    <t>Produk: JL Audio C1 Series - Speaker Component</t>
  </si>
  <si>
    <t>Grup produk dari seri yang dicari (Relevan).</t>
  </si>
  <si>
    <t>Produk: JL Audio C1-075ct - Spesifikasi Tweeter</t>
  </si>
  <si>
    <t>Sesuai tepat dengan tipe tweeter yang dicari (Sangat Relevan).</t>
  </si>
  <si>
    <t>Artikel: Dimensi dan Mounting Tweeter JL C1-075ct</t>
  </si>
  <si>
    <t>Memberikan detail instalasi untuk produk yang dicari (Sangat Relevan).</t>
  </si>
  <si>
    <t>Tips: Cara Mencuci Mobil Agar Tidak Baret</t>
  </si>
  <si>
    <t>Produk: Oli Mesin Shell Helix</t>
  </si>
  <si>
    <t>Produk pemeliharaan mesin, tidak relevan.</t>
  </si>
  <si>
    <t>C01</t>
  </si>
  <si>
    <t>apa fungsi head unit di sistem audio mobil?</t>
  </si>
  <si>
    <t>Artikel: Apa Itu Head Unit? Definisi dan Perannya</t>
  </si>
  <si>
    <t>Menjawab langsung definisi dan fungsi utama (Sangat Relevan).</t>
  </si>
  <si>
    <t>Artikel: 5 Fitur Utama Head Unit yang Wajib Anda Tahu</t>
  </si>
  <si>
    <t>Menjelaskan detail fungsionalitas unit utama (Sangat Relevan).</t>
  </si>
  <si>
    <t>Artikel: Perbandingan Head Unit Single Din vs Double Din</t>
  </si>
  <si>
    <t>Membahas variasi produk, membantu pemahaman fungsi (Relevan).</t>
  </si>
  <si>
    <t>Produk: Sarung Jok Mobil Universal</t>
  </si>
  <si>
    <t>Interior, tidak relevan dengan sistem audio.</t>
  </si>
  <si>
    <t>Artikel: Tips Memilih Head Unit Android Terbaik</t>
  </si>
  <si>
    <t>Informasi tambahan fungsionalitas unit android (Relevan).</t>
  </si>
  <si>
    <t>C02</t>
  </si>
  <si>
    <t>perbedaan speaker coaxial dan speaker component</t>
  </si>
  <si>
    <t>Artikel: Mengenal Jenis-Jenis Speaker Mobil</t>
  </si>
  <si>
    <t>Membahas speaker secara umum (Relevan).</t>
  </si>
  <si>
    <t>Artikel: Perbedaan Detail Speaker Coaxial vs Split (Component)</t>
  </si>
  <si>
    <t>Menjawab inti pertanyaan user dengan tabel perbandingan (Sangat Relevan).</t>
  </si>
  <si>
    <t>Artikel: Fungsi Crossover Pasif pada Speaker Component</t>
  </si>
  <si>
    <t>Menjelaskan salah satu perbedaan teknis (Relevan).</t>
  </si>
  <si>
    <t>Artikel: Mana yang Lebih Bagus? Speaker Coaxial atau Component?</t>
  </si>
  <si>
    <t>Memberikan opini dan perbandingan mendalam (Sangat Relevan).</t>
  </si>
  <si>
    <t>Produk: Speaker Coaxial Pioneer 6 Inch</t>
  </si>
  <si>
    <t>Contoh nyata produk coaxial untuk membantu visualisasi (Relevan).</t>
  </si>
  <si>
    <t>C03</t>
  </si>
  <si>
    <t>kenapa bass mobil tidak terasa nendang padahal sudah pasang subwoofer?</t>
  </si>
  <si>
    <t>Artikel: 7 Penyebab Bass Subwoofer Tidak Keluar / Kurang Nendang</t>
  </si>
  <si>
    <t>Menjawab langsung keluhan user dengan diagnosa masalah (Sangat Relevan).</t>
  </si>
  <si>
    <t>Artikel: Tips Setting Low Pass Filter pada Amplifier Monoblock</t>
  </si>
  <si>
    <t>Memberikan solusi teknis tuning untuk meningkatkan bass (Relevan).</t>
  </si>
  <si>
    <t>Produk: Kaca Film 3M Black Beauty</t>
  </si>
  <si>
    <t>Eksterior, tidak relevan dengan suara bass.</t>
  </si>
  <si>
    <t>Produk: Karpet Mobil 5D</t>
  </si>
  <si>
    <t>Interior, tidak relevan.</t>
  </si>
  <si>
    <t>Artikel: Efek Pantulan Suara (Akustik) pada Kabin Mobil</t>
  </si>
  <si>
    <t>Menjelaskan faktor lingkungan yang mempengaruhi bass (Relevan).</t>
  </si>
  <si>
    <t>C04</t>
  </si>
  <si>
    <t>bagaimana cara upgrade audio mobil untuk pemula dengan budget terbatas?</t>
  </si>
  <si>
    <t>Artikel: Panduan Tahapan Upgrade Audio Mobil untuk Pemula</t>
  </si>
  <si>
    <t>Memberikan strategi urutan upgrade (Sangat Relevan).</t>
  </si>
  <si>
    <t>Artikel: Tips Upgrade Audio dengan Budget Dibawah 2 Juta</t>
  </si>
  <si>
    <t>Menjawab batasan biaya yang diminta user (Sangat Relevan).</t>
  </si>
  <si>
    <t>Produk: Speaker Pintu Murah Berkualitas Rendy Audio</t>
  </si>
  <si>
    <t>Menyarankan produk yang sesuai kantong pemula (Relevan).</t>
  </si>
  <si>
    <t>Artikel: Cara Pasang Kabel Audio Sendiri untuk Hemat Biaya</t>
  </si>
  <si>
    <t>Memberikan solusi penghematan jasa instalasi (Relevan).</t>
  </si>
  <si>
    <t>Promo: Paket Audio Hemat Rendy Audio</t>
  </si>
  <si>
    <t>Daftar paket harga terjangkau (Relevan).</t>
  </si>
  <si>
    <t>C05</t>
  </si>
  <si>
    <t>apa itu DSP digital signal processor dalam audio mobil?</t>
  </si>
  <si>
    <t>Artikel: Mengenal Teknologi DSP pada Audio Mobil</t>
  </si>
  <si>
    <t>Menjelaskan definisi dasar DSP (Relevan).</t>
  </si>
  <si>
    <t>Tips: Cara Membersihkan Filter Udara</t>
  </si>
  <si>
    <t>Artikel: Mengapa Anda Perlu Menggunakan DSP?</t>
  </si>
  <si>
    <t>Menjelaskan manfaat dan alasan penggunaan DSP (Relevan).</t>
  </si>
  <si>
    <t>Produk: Ban Serep Space Saver</t>
  </si>
  <si>
    <t>Bagian kendaraan, tidak relevan.</t>
  </si>
  <si>
    <t>Tips: Cara Membersihkan Noda di Plafon Mobil</t>
  </si>
  <si>
    <t>C06</t>
  </si>
  <si>
    <t>perbedaan subwoofer sealed box dan ported box untuk kualitas suara</t>
  </si>
  <si>
    <t>Artikel: Karakteristik Bass: Pilih Sealed Box atau Ported Box?</t>
  </si>
  <si>
    <t>Menjawab langsung perbandingan dua jenis boks (Sangat Relevan).</t>
  </si>
  <si>
    <t>Artikel: Keunggulan Sealed Box untuk Mengejar Kualitas Suara (SQ)</t>
  </si>
  <si>
    <t>Detail spesifik mengenai salah satu jenis boks (Relevan).</t>
  </si>
  <si>
    <t>Produk: Klakson Keong Hella</t>
  </si>
  <si>
    <t>Aksesori, tidak relevan.</t>
  </si>
  <si>
    <t>Artikel: Keunggulan Ported Box untuk Bass yang Lebih Keras (SPL)</t>
  </si>
  <si>
    <t>Detail spesifik mengenai jenis boks lainnya (Sangat Relevan).</t>
  </si>
  <si>
    <t>Artikel: Tips Memilih Bahan Kayu MDF untuk Boks Subwoofer</t>
  </si>
  <si>
    <t>Informasi pendukung pembuatan boks (Relevan).</t>
  </si>
  <si>
    <t>C07</t>
  </si>
  <si>
    <t>cara menghilangkan noise suara dengung di audio mobil</t>
  </si>
  <si>
    <t>Artikel: Panduan Mengatasi Storing (Noise) Berdasarkan Sumbernya</t>
  </si>
  <si>
    <t>Menjawab langsung cara mengatasi dengung (Sangat Relevan).</t>
  </si>
  <si>
    <t>Produk: Wiper Mobil Bosch</t>
  </si>
  <si>
    <t>Eksterior, tidak relevan.</t>
  </si>
  <si>
    <t>Produk: Noise Filter / Grounding Block</t>
  </si>
  <si>
    <t>Alat yang bisa digunakan untuk mengatasi masalah user (Relevan).</t>
  </si>
  <si>
    <t>Tips: Agar Interior Mobil Wangi Sepanjang Hari</t>
  </si>
  <si>
    <t>Aksesori interior, tidak relevan.</t>
  </si>
  <si>
    <t>Tips: Tanda-tanda Busi Mobil Harus Diganti</t>
  </si>
  <si>
    <t>Mesin, tidak relevan.</t>
  </si>
  <si>
    <t>C08</t>
  </si>
  <si>
    <t>mengapa suara speaker mobil pecah distorsi saat volume tinggi?</t>
  </si>
  <si>
    <t>Artikel: Penyebab Clipping pada Amplifier dan Kerusakan Speaker</t>
  </si>
  <si>
    <t>Menjawab alasan teknis suara pecah (Sangat Relevan).</t>
  </si>
  <si>
    <t>Artikel: Mengenal Batasan Daya RMS pada Speaker</t>
  </si>
  <si>
    <t>Menjelaskan limitasi hardware untuk menghindari distorsi (Relevan).</t>
  </si>
  <si>
    <t>Tips: Cara Cek Air Radiator Secara Rutin</t>
  </si>
  <si>
    <t>Produk: Cairan Pembersih Mesin</t>
  </si>
  <si>
    <t>Tips: Cara Parkir Paralel yang Benar</t>
  </si>
  <si>
    <t>Umum, tidak relevan.</t>
  </si>
  <si>
    <t>V01</t>
  </si>
  <si>
    <t>rekomendasi upgrade audio untuk Mitsubishi Xpander</t>
  </si>
  <si>
    <t>Artikel: Rekomendasi Paket Audio Spesial Mitsubishi Xpander</t>
  </si>
  <si>
    <t>Memberikan solusi lengkap khusus mobil user (Sangat Relevan).</t>
  </si>
  <si>
    <t>Artikel: Review Sistem Audio Standar Mitsubishi Xpander</t>
  </si>
  <si>
    <t>Memberikan konteks apa yang perlu di-upgrade (Relevan).</t>
  </si>
  <si>
    <t>Artikel: Cara Pasang Peredam di Pintu Mitsubishi Xpander</t>
  </si>
  <si>
    <t>Panduan teknis khusus untuk mobil tersebut (Sangat Relevan).</t>
  </si>
  <si>
    <t>Produk: Head Unit Android OEM Look Mitsubishi Xpander</t>
  </si>
  <si>
    <t>Produk spesifik yang pas untuk mobil user (Sangat Relevan).</t>
  </si>
  <si>
    <t>Produk: Speaker 6 Inch yang Muat di Pintu Xpander</t>
  </si>
  <si>
    <t>Katalog produk yang kompatibel (Relevan).</t>
  </si>
  <si>
    <t>V02</t>
  </si>
  <si>
    <t>speaker yang cocok untuk Honda Brio city car</t>
  </si>
  <si>
    <t>Artikel: Ukuran Speaker Pintu dan Dashboard Honda Brio</t>
  </si>
  <si>
    <t>Data teknis untuk memilih speaker yang muat (Sangat Relevan).</t>
  </si>
  <si>
    <t>Tips: Cara Membuka Door Trim Honda Brio Tanpa Patah</t>
  </si>
  <si>
    <t>Panduan instalasi untuk mobil spesifik (Relevan).</t>
  </si>
  <si>
    <t>Produk: Speaker Split Pioneer Khusus Honda Brio</t>
  </si>
  <si>
    <t>Produk yang direkomendasikan (Relevan).</t>
  </si>
  <si>
    <t>Artikel: Review Kualitas Audio Bawaan Honda Brio</t>
  </si>
  <si>
    <t>Konteks perbandingan untuk upgrade (Relevan).</t>
  </si>
  <si>
    <t>Produk: Ring Adaptor Speaker Honda Brio</t>
  </si>
  <si>
    <t>Aksesori wajib untuk ganti speaker di Brio (Relevan).</t>
  </si>
  <si>
    <t>V03</t>
  </si>
  <si>
    <t>subwoofer terbaik untuk Toyota Avanza MPV</t>
  </si>
  <si>
    <t>Artikel: Tips Memilih Subwoofer untuk Mobil MPV</t>
  </si>
  <si>
    <t>Memberikan saran umum untuk kategori mobil Avanza (Relevan).</t>
  </si>
  <si>
    <t>Tips: Cara Ganti Filter AC Toyota Avanza</t>
  </si>
  <si>
    <t>Pemeliharaan interior, tidak relevan dengan audio.</t>
  </si>
  <si>
    <t>Produk: Subwoofer Aktif Bawah Jok Khusus Avanza</t>
  </si>
  <si>
    <t>Solusi hemat ruang yang sangat dicari user Avanza (Sangat Relevan).</t>
  </si>
  <si>
    <t>Artikel: Modifikasi Audio Avanza Tanpa Memakan Bagasi</t>
  </si>
  <si>
    <t>Menjawab kebutuhan user MPV akan ruang bagasi (Relevan).</t>
  </si>
  <si>
    <t>Jasa: Estimasi Biaya Pasang Subwoofer di Avanza</t>
  </si>
  <si>
    <t>Informasi biaya instalasi spesifik mobil (Relevan).</t>
  </si>
  <si>
    <t>V04</t>
  </si>
  <si>
    <t>setup audio lengkap untuk Toyota Fortuner SUV</t>
  </si>
  <si>
    <t>Artikel: Desain Sistem Audio 3-Way untuk Toyota Fortuner</t>
  </si>
  <si>
    <t>Memberikan skema lengkap untuk mobil user (Sangat Relevan).</t>
  </si>
  <si>
    <t>Artikel: Upgrade Audio Fortuner JBL Edition</t>
  </si>
  <si>
    <t>Membahas varian audio tinggi untuk Fortuner (Relevan).</t>
  </si>
  <si>
    <t>Tips: Tempat Paling Aman Pasang DSP di Fortuner</t>
  </si>
  <si>
    <t>Detail penempatan alat khusus mobil SUV (Relevan).</t>
  </si>
  <si>
    <t>Artikel: Mengatasi Kabin SUV yang Berisik dengan Peredam</t>
  </si>
  <si>
    <t>Memberikan saran kenyamanan audio khusus SUV (Relevan).</t>
  </si>
  <si>
    <t>Promo: Paket Audio Mewah Fortuner Rendy Audio</t>
  </si>
  <si>
    <t>Pilihan harga untuk setup lengkap (Relevan).</t>
  </si>
  <si>
    <t>V05</t>
  </si>
  <si>
    <t>upgrade head unit android untuk Honda Jazz</t>
  </si>
  <si>
    <t>Produk: Frame Head Unit Android 9 Inch Honda Jazz GK5</t>
  </si>
  <si>
    <t>Komponen utama yang dibutuhkan untuk upgrade (Sangat Relevan).</t>
  </si>
  <si>
    <t>Tips: Cara Kuras Oli Matik Honda Jazz</t>
  </si>
  <si>
    <t>Artikel: Review Head Unit Android 10 Inch di Honda Jazz</t>
  </si>
  <si>
    <t>Memberikan gambaran hasil upgrade (Relevan).</t>
  </si>
  <si>
    <t>Produk: Kabel Soket PNP Android Honda</t>
  </si>
  <si>
    <t>Aksesori instalasi untuk mempermudah upgrade (Relevan).</t>
  </si>
  <si>
    <t>Produk: Head Unit Android Mirai khusus Honda Jazz</t>
  </si>
  <si>
    <t>Opsi produk yang siap pasang (Relevan).</t>
  </si>
  <si>
    <t>V06</t>
  </si>
  <si>
    <t>rekomendasi audio system untuk Suzuki Ertiga</t>
  </si>
  <si>
    <t>Artikel: Paket Upgrade Audio Harian untuk Suzuki Ertiga</t>
  </si>
  <si>
    <t>Menjawab langsung permintaan rekomendasi (Sangat Relevan).</t>
  </si>
  <si>
    <t>Produk: Towing Bar Belakang Suzuki Ertiga</t>
  </si>
  <si>
    <t>Artikel: Posisi Terbaik Memasang Tweeter di Pilar A Ertiga</t>
  </si>
  <si>
    <t>Detail teknis khusus untuk mobil tersebut (Sangat Relevan).</t>
  </si>
  <si>
    <t>Artikel: Mengapa Speaker Bawaan Ertiga Kurang Bass?</t>
  </si>
  <si>
    <t>Memberikan alasan mengapa user perlu upgrade (Relevan).</t>
  </si>
  <si>
    <t>Produk: Kabel Set Audio Standar Ertiga</t>
  </si>
  <si>
    <t>Kebutuhan kabel untuk instalasi di Ertiga (Relevan).</t>
  </si>
  <si>
    <t>V07</t>
  </si>
  <si>
    <t>tweeter dan speaker depan untuk Hyundai Stargazer</t>
  </si>
  <si>
    <t>Artikel: Panduan Ganti Speaker Depan Hyundai Stargazer</t>
  </si>
  <si>
    <t>Menjawab langsung pertanyaan komponen depan (Sangat Relevan).</t>
  </si>
  <si>
    <t>Produk: Talang Air Hyundai Stargazer</t>
  </si>
  <si>
    <t>Artikel: Ukuran Speaker Pintu Hyundai Stargazer</t>
  </si>
  <si>
    <t>Data teknis yang diperlukan (Relevan).</t>
  </si>
  <si>
    <t>Artikel: Review Kualitas Audio Hyundai Stargazer</t>
  </si>
  <si>
    <t>Evaluasi sistem audio asli sebagai dasar upgrade (Sangat Relevan).</t>
  </si>
  <si>
    <t>Produk: Dongkrak Buaya 2 Ton</t>
  </si>
  <si>
    <t>Peralatan darurat, tidak relevan.</t>
  </si>
  <si>
    <t>Relevansi
[pos1..pos5]</t>
  </si>
  <si>
    <t>s1</t>
  </si>
  <si>
    <t>s2</t>
  </si>
  <si>
    <t>s3</t>
  </si>
  <si>
    <t>s4</t>
  </si>
  <si>
    <t>s5</t>
  </si>
  <si>
    <t>P@3 Hasil</t>
  </si>
  <si>
    <t>NDCG@3 Hasil</t>
  </si>
  <si>
    <t>P@5 Hasil</t>
  </si>
  <si>
    <t>NDCG@5 Hasil</t>
  </si>
  <si>
    <t>[0,0,1,0,0]</t>
  </si>
  <si>
    <t>(0+0+1)/3</t>
  </si>
  <si>
    <t>(0+0+1+0+0)/5</t>
  </si>
  <si>
    <t>[1,0,0,0,2]</t>
  </si>
  <si>
    <t>(1+0+0)/3</t>
  </si>
  <si>
    <t>(1+0+0+0+1)/5</t>
  </si>
  <si>
    <t>[0,1,0,0,0]</t>
  </si>
  <si>
    <t>(0+1+0)/3</t>
  </si>
  <si>
    <t>(0+1+0+0+0)/5</t>
  </si>
  <si>
    <t>[2,0,1,0,0]</t>
  </si>
  <si>
    <t>(1+0+1)/3</t>
  </si>
  <si>
    <t>(1+0+1+0+0)/5</t>
  </si>
  <si>
    <t>[1,1,0,0,0]</t>
  </si>
  <si>
    <t>(1+1+0)/3</t>
  </si>
  <si>
    <t>(1+1+0+0+0)/5</t>
  </si>
  <si>
    <t>[0,0,0,1,0]</t>
  </si>
  <si>
    <t>(0+0+0)/3</t>
  </si>
  <si>
    <t>(0+0+0+1+0)/5</t>
  </si>
  <si>
    <t>[2,0,0,0,0]</t>
  </si>
  <si>
    <t>(1+0+0+0+0)/5</t>
  </si>
  <si>
    <t>[2,1,0,0,1]</t>
  </si>
  <si>
    <t>(1+1+0+0+1)/5</t>
  </si>
  <si>
    <t>[1,0,0,0,0]</t>
  </si>
  <si>
    <t>[1,2,0,1,0]</t>
  </si>
  <si>
    <t>(1+1+0+1+0)/5</t>
  </si>
  <si>
    <t>[2,0,0,1,0]</t>
  </si>
  <si>
    <t>(1+0+0+1+0)/5</t>
  </si>
  <si>
    <t>[2,2,0,0,1]</t>
  </si>
  <si>
    <t>[1,2,2,0,0]</t>
  </si>
  <si>
    <t>(1+1+1)/3</t>
  </si>
  <si>
    <t>(1+1+1+0+0)/5</t>
  </si>
  <si>
    <t>[2,2,1,0,1]</t>
  </si>
  <si>
    <t>(1+1+1+0+1)/5</t>
  </si>
  <si>
    <t>[1,2,1,2,1]</t>
  </si>
  <si>
    <t>(1+1+1+1+1)/5</t>
  </si>
  <si>
    <t>[2,2,1,1,1]</t>
  </si>
  <si>
    <t>[1,0,1,0,0]</t>
  </si>
  <si>
    <t>[2,1,0,2,1]</t>
  </si>
  <si>
    <t>(1+1+0+1+1)/5</t>
  </si>
  <si>
    <t>[2,1,0,0,0]</t>
  </si>
  <si>
    <t>[2,1,2,2,1]</t>
  </si>
  <si>
    <t>[2,1,1,1,1]</t>
  </si>
  <si>
    <t>[1,0,2,1,1]</t>
  </si>
  <si>
    <t>(1+0+1+1+1)/5</t>
  </si>
  <si>
    <t>[2,0,1,1,1]</t>
  </si>
  <si>
    <t>[2,0,2,1,1]</t>
  </si>
  <si>
    <t>[2,0,1,2,0]</t>
  </si>
  <si>
    <t>(1+0+1+1+0)/5</t>
  </si>
  <si>
    <t>DCG pos1
(2^s1-1)
/log₂(2)</t>
  </si>
  <si>
    <t>DCG pos2
(2^s2-1)
/log₂(3)</t>
  </si>
  <si>
    <t>DCG pos3
(2^s3-1)
/log₂(4)</t>
  </si>
  <si>
    <t>DCG pos4
(2^s4-1)
/log₂(5)</t>
  </si>
  <si>
    <t>DCG pos5
(2^s5-1)
/log₂(6)</t>
  </si>
  <si>
    <t>DCG@5
(sum pos1..5)</t>
  </si>
  <si>
    <t>DCG@3
(sum pos1..3)</t>
  </si>
  <si>
    <t>IDCG pos1
(2^best1-1)
/log₂(2)</t>
  </si>
  <si>
    <t>IDCG pos2
(2^best2-1)
/log₂(3)</t>
  </si>
  <si>
    <t>IDCG pos3
(2^best3-1)
/log₂(4)</t>
  </si>
  <si>
    <t>IDCG pos4
(2^best4-1)
/log₂(5)</t>
  </si>
  <si>
    <t>IDCG pos5
(2^best5-1)
/log₂(6)</t>
  </si>
  <si>
    <t>IDCG@5
(ideal sum)</t>
  </si>
  <si>
    <t>IDCG@3
(ideal sum)</t>
  </si>
  <si>
    <t>log₂(2)</t>
  </si>
  <si>
    <t>log₂(3)</t>
  </si>
  <si>
    <t>log₂(4)</t>
  </si>
  <si>
    <t>log₂(5)</t>
  </si>
  <si>
    <t>log₂(6)</t>
  </si>
  <si>
    <t>NDCG@3 Rumus
(DCG / IDCG)</t>
  </si>
  <si>
    <t>NDCG@5 Rumus
(DCG / IDCG)</t>
  </si>
  <si>
    <t>P@3 Rumus
S=0=0;S&gt;0=1</t>
  </si>
  <si>
    <t>P@5 Rumus
S=0=0;S&gt;0=1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</si>
</sst>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00"/>
      <name val="Arial"/>
      <charset val="1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FFF"/>
        <bgColor rgb="FFFFF2CC"/>
      </patternFill>
    </fill>
    <fill>
      <patternFill patternType="solid">
        <fgColor rgb="FFFFCCCC"/>
        <bgColor rgb="FFFFF2CC"/>
      </patternFill>
    </fill>
    <fill>
      <patternFill patternType="solid">
        <fgColor rgb="FFD6E4F0"/>
        <bgColor rgb="FFC6EFCE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6E4F0"/>
      </patternFill>
    </fill>
  </fills>
  <borders count="2">
    <border>
      <left/>
      <right/>
      <top/>
      <bottom/>
      <diagonal/>
    </border>
    <border>
      <left style="thin">
        <color rgb="FFB0C4D8"/>
      </left>
      <right style="thin">
        <color rgb="FFB0C4D8"/>
      </right>
      <top style="thin">
        <color rgb="FFB0C4D8"/>
      </top>
      <bottom style="thin">
        <color rgb="FFB0C4D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8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1"/>
  <sheetViews>
    <sheetView zoomScaleNormal="100" workbookViewId="0">
      <pane ySplit="1" topLeftCell="A141" activePane="bottomLeft" state="frozen"/>
      <selection pane="bottomLeft" activeCell="C156" sqref="C156"/>
    </sheetView>
  </sheetViews>
  <sheetFormatPr defaultColWidth="8.6640625" defaultRowHeight="14.4" x14ac:dyDescent="0.3"/>
  <cols>
    <col min="1" max="1" width="4.6640625" customWidth="1"/>
    <col min="2" max="2" width="35.5546875" customWidth="1"/>
    <col min="3" max="3" width="6.77734375" customWidth="1"/>
    <col min="4" max="4" width="10.44140625" customWidth="1"/>
    <col min="5" max="6" width="35.5546875" customWidth="1"/>
  </cols>
  <sheetData>
    <row r="1" spans="1:6" ht="25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9.6" x14ac:dyDescent="0.3">
      <c r="A2" s="2" t="s">
        <v>6</v>
      </c>
      <c r="B2" s="3" t="s">
        <v>7</v>
      </c>
      <c r="C2" s="2">
        <v>1</v>
      </c>
      <c r="D2" s="4">
        <v>0</v>
      </c>
      <c r="E2" s="3" t="s">
        <v>8</v>
      </c>
      <c r="F2" s="3" t="s">
        <v>9</v>
      </c>
    </row>
    <row r="3" spans="1:6" ht="26.4" x14ac:dyDescent="0.3">
      <c r="A3" s="5" t="s">
        <v>6</v>
      </c>
      <c r="B3" s="6" t="s">
        <v>7</v>
      </c>
      <c r="C3" s="5">
        <v>2</v>
      </c>
      <c r="D3" s="4">
        <v>0</v>
      </c>
      <c r="E3" s="6" t="s">
        <v>10</v>
      </c>
      <c r="F3" s="6" t="s">
        <v>11</v>
      </c>
    </row>
    <row r="4" spans="1:6" ht="39.6" x14ac:dyDescent="0.3">
      <c r="A4" s="2" t="s">
        <v>6</v>
      </c>
      <c r="B4" s="3" t="s">
        <v>7</v>
      </c>
      <c r="C4" s="2">
        <v>3</v>
      </c>
      <c r="D4" s="7">
        <v>1</v>
      </c>
      <c r="E4" s="3" t="s">
        <v>12</v>
      </c>
      <c r="F4" s="3" t="s">
        <v>13</v>
      </c>
    </row>
    <row r="5" spans="1:6" ht="26.4" x14ac:dyDescent="0.3">
      <c r="A5" s="5" t="s">
        <v>6</v>
      </c>
      <c r="B5" s="6" t="s">
        <v>7</v>
      </c>
      <c r="C5" s="5">
        <v>4</v>
      </c>
      <c r="D5" s="4">
        <v>0</v>
      </c>
      <c r="E5" s="6" t="s">
        <v>14</v>
      </c>
      <c r="F5" s="6" t="s">
        <v>15</v>
      </c>
    </row>
    <row r="6" spans="1:6" ht="26.4" x14ac:dyDescent="0.3">
      <c r="A6" s="2" t="s">
        <v>6</v>
      </c>
      <c r="B6" s="3" t="s">
        <v>7</v>
      </c>
      <c r="C6" s="2">
        <v>5</v>
      </c>
      <c r="D6" s="4">
        <v>0</v>
      </c>
      <c r="E6" s="3" t="s">
        <v>16</v>
      </c>
      <c r="F6" s="3" t="s">
        <v>17</v>
      </c>
    </row>
    <row r="7" spans="1:6" ht="39.6" x14ac:dyDescent="0.3">
      <c r="A7" s="5" t="s">
        <v>18</v>
      </c>
      <c r="B7" s="6" t="s">
        <v>19</v>
      </c>
      <c r="C7" s="5">
        <v>1</v>
      </c>
      <c r="D7" s="7">
        <v>1</v>
      </c>
      <c r="E7" s="6" t="s">
        <v>20</v>
      </c>
      <c r="F7" s="6" t="s">
        <v>21</v>
      </c>
    </row>
    <row r="8" spans="1:6" ht="26.4" x14ac:dyDescent="0.3">
      <c r="A8" s="2" t="s">
        <v>18</v>
      </c>
      <c r="B8" s="3" t="s">
        <v>19</v>
      </c>
      <c r="C8" s="2">
        <v>2</v>
      </c>
      <c r="D8" s="4">
        <v>0</v>
      </c>
      <c r="E8" s="3" t="s">
        <v>22</v>
      </c>
      <c r="F8" s="3" t="s">
        <v>23</v>
      </c>
    </row>
    <row r="9" spans="1:6" ht="39.6" x14ac:dyDescent="0.3">
      <c r="A9" s="5" t="s">
        <v>18</v>
      </c>
      <c r="B9" s="6" t="s">
        <v>19</v>
      </c>
      <c r="C9" s="5">
        <v>3</v>
      </c>
      <c r="D9" s="4">
        <v>0</v>
      </c>
      <c r="E9" s="6" t="s">
        <v>24</v>
      </c>
      <c r="F9" s="6" t="s">
        <v>25</v>
      </c>
    </row>
    <row r="10" spans="1:6" ht="26.4" x14ac:dyDescent="0.3">
      <c r="A10" s="2" t="s">
        <v>18</v>
      </c>
      <c r="B10" s="3" t="s">
        <v>19</v>
      </c>
      <c r="C10" s="2">
        <v>4</v>
      </c>
      <c r="D10" s="4">
        <v>0</v>
      </c>
      <c r="E10" s="3" t="s">
        <v>26</v>
      </c>
      <c r="F10" s="3" t="s">
        <v>27</v>
      </c>
    </row>
    <row r="11" spans="1:6" ht="39.6" x14ac:dyDescent="0.3">
      <c r="A11" s="5" t="s">
        <v>18</v>
      </c>
      <c r="B11" s="6" t="s">
        <v>19</v>
      </c>
      <c r="C11" s="5">
        <v>5</v>
      </c>
      <c r="D11" s="8">
        <v>2</v>
      </c>
      <c r="E11" s="6" t="s">
        <v>28</v>
      </c>
      <c r="F11" s="6" t="s">
        <v>29</v>
      </c>
    </row>
    <row r="12" spans="1:6" ht="26.4" x14ac:dyDescent="0.3">
      <c r="A12" s="2" t="s">
        <v>30</v>
      </c>
      <c r="B12" s="3" t="s">
        <v>31</v>
      </c>
      <c r="C12" s="2">
        <v>1</v>
      </c>
      <c r="D12" s="4">
        <v>0</v>
      </c>
      <c r="E12" s="3" t="s">
        <v>32</v>
      </c>
      <c r="F12" s="3" t="s">
        <v>33</v>
      </c>
    </row>
    <row r="13" spans="1:6" ht="39.6" x14ac:dyDescent="0.3">
      <c r="A13" s="5" t="s">
        <v>30</v>
      </c>
      <c r="B13" s="6" t="s">
        <v>31</v>
      </c>
      <c r="C13" s="5">
        <v>2</v>
      </c>
      <c r="D13" s="7">
        <v>1</v>
      </c>
      <c r="E13" s="6" t="s">
        <v>34</v>
      </c>
      <c r="F13" s="6" t="s">
        <v>35</v>
      </c>
    </row>
    <row r="14" spans="1:6" ht="26.4" x14ac:dyDescent="0.3">
      <c r="A14" s="2" t="s">
        <v>30</v>
      </c>
      <c r="B14" s="3" t="s">
        <v>31</v>
      </c>
      <c r="C14" s="2">
        <v>3</v>
      </c>
      <c r="D14" s="4">
        <v>0</v>
      </c>
      <c r="E14" s="3" t="s">
        <v>36</v>
      </c>
      <c r="F14" s="3" t="s">
        <v>37</v>
      </c>
    </row>
    <row r="15" spans="1:6" ht="26.4" x14ac:dyDescent="0.3">
      <c r="A15" s="5" t="s">
        <v>30</v>
      </c>
      <c r="B15" s="6" t="s">
        <v>31</v>
      </c>
      <c r="C15" s="5">
        <v>4</v>
      </c>
      <c r="D15" s="4">
        <v>0</v>
      </c>
      <c r="E15" s="6" t="s">
        <v>38</v>
      </c>
      <c r="F15" s="6" t="s">
        <v>39</v>
      </c>
    </row>
    <row r="16" spans="1:6" ht="26.4" x14ac:dyDescent="0.3">
      <c r="A16" s="2" t="s">
        <v>30</v>
      </c>
      <c r="B16" s="3" t="s">
        <v>31</v>
      </c>
      <c r="C16" s="2">
        <v>5</v>
      </c>
      <c r="D16" s="4">
        <v>0</v>
      </c>
      <c r="E16" s="3" t="s">
        <v>40</v>
      </c>
      <c r="F16" s="3" t="s">
        <v>41</v>
      </c>
    </row>
    <row r="17" spans="1:6" ht="39.6" x14ac:dyDescent="0.3">
      <c r="A17" s="5" t="s">
        <v>42</v>
      </c>
      <c r="B17" s="6" t="s">
        <v>43</v>
      </c>
      <c r="C17" s="5">
        <v>1</v>
      </c>
      <c r="D17" s="8">
        <v>2</v>
      </c>
      <c r="E17" s="6" t="s">
        <v>44</v>
      </c>
      <c r="F17" s="6" t="s">
        <v>45</v>
      </c>
    </row>
    <row r="18" spans="1:6" ht="26.4" x14ac:dyDescent="0.3">
      <c r="A18" s="2" t="s">
        <v>42</v>
      </c>
      <c r="B18" s="3" t="s">
        <v>43</v>
      </c>
      <c r="C18" s="2">
        <v>2</v>
      </c>
      <c r="D18" s="4">
        <v>0</v>
      </c>
      <c r="E18" s="3" t="s">
        <v>46</v>
      </c>
      <c r="F18" s="3" t="s">
        <v>47</v>
      </c>
    </row>
    <row r="19" spans="1:6" ht="39.6" x14ac:dyDescent="0.3">
      <c r="A19" s="5" t="s">
        <v>42</v>
      </c>
      <c r="B19" s="6" t="s">
        <v>43</v>
      </c>
      <c r="C19" s="5">
        <v>3</v>
      </c>
      <c r="D19" s="7">
        <v>1</v>
      </c>
      <c r="E19" s="6" t="s">
        <v>48</v>
      </c>
      <c r="F19" s="6" t="s">
        <v>49</v>
      </c>
    </row>
    <row r="20" spans="1:6" ht="26.4" x14ac:dyDescent="0.3">
      <c r="A20" s="2" t="s">
        <v>42</v>
      </c>
      <c r="B20" s="3" t="s">
        <v>43</v>
      </c>
      <c r="C20" s="2">
        <v>4</v>
      </c>
      <c r="D20" s="4">
        <v>0</v>
      </c>
      <c r="E20" s="3" t="s">
        <v>50</v>
      </c>
      <c r="F20" s="3" t="s">
        <v>51</v>
      </c>
    </row>
    <row r="21" spans="1:6" ht="26.4" x14ac:dyDescent="0.3">
      <c r="A21" s="5" t="s">
        <v>42</v>
      </c>
      <c r="B21" s="6" t="s">
        <v>43</v>
      </c>
      <c r="C21" s="5">
        <v>5</v>
      </c>
      <c r="D21" s="4">
        <v>0</v>
      </c>
      <c r="E21" s="6" t="s">
        <v>52</v>
      </c>
      <c r="F21" s="6" t="s">
        <v>53</v>
      </c>
    </row>
    <row r="22" spans="1:6" ht="39.6" x14ac:dyDescent="0.3">
      <c r="A22" s="2" t="s">
        <v>54</v>
      </c>
      <c r="B22" s="3" t="s">
        <v>55</v>
      </c>
      <c r="C22" s="2">
        <v>1</v>
      </c>
      <c r="D22" s="7">
        <v>1</v>
      </c>
      <c r="E22" s="3" t="s">
        <v>56</v>
      </c>
      <c r="F22" s="3" t="s">
        <v>57</v>
      </c>
    </row>
    <row r="23" spans="1:6" ht="26.4" x14ac:dyDescent="0.3">
      <c r="A23" s="5" t="s">
        <v>54</v>
      </c>
      <c r="B23" s="6" t="s">
        <v>55</v>
      </c>
      <c r="C23" s="5">
        <v>2</v>
      </c>
      <c r="D23" s="7">
        <v>1</v>
      </c>
      <c r="E23" s="6" t="s">
        <v>58</v>
      </c>
      <c r="F23" s="6" t="s">
        <v>59</v>
      </c>
    </row>
    <row r="24" spans="1:6" ht="26.4" x14ac:dyDescent="0.3">
      <c r="A24" s="2" t="s">
        <v>54</v>
      </c>
      <c r="B24" s="3" t="s">
        <v>55</v>
      </c>
      <c r="C24" s="2">
        <v>3</v>
      </c>
      <c r="D24" s="4">
        <v>0</v>
      </c>
      <c r="E24" s="3" t="s">
        <v>60</v>
      </c>
      <c r="F24" s="3" t="s">
        <v>61</v>
      </c>
    </row>
    <row r="25" spans="1:6" ht="26.4" x14ac:dyDescent="0.3">
      <c r="A25" s="5" t="s">
        <v>54</v>
      </c>
      <c r="B25" s="6" t="s">
        <v>55</v>
      </c>
      <c r="C25" s="5">
        <v>4</v>
      </c>
      <c r="D25" s="4">
        <v>0</v>
      </c>
      <c r="E25" s="6" t="s">
        <v>62</v>
      </c>
      <c r="F25" s="6" t="s">
        <v>63</v>
      </c>
    </row>
    <row r="26" spans="1:6" ht="26.4" x14ac:dyDescent="0.3">
      <c r="A26" s="2" t="s">
        <v>54</v>
      </c>
      <c r="B26" s="3" t="s">
        <v>55</v>
      </c>
      <c r="C26" s="2">
        <v>5</v>
      </c>
      <c r="D26" s="4">
        <v>0</v>
      </c>
      <c r="E26" s="3" t="s">
        <v>64</v>
      </c>
      <c r="F26" s="3" t="s">
        <v>65</v>
      </c>
    </row>
    <row r="27" spans="1:6" ht="26.4" x14ac:dyDescent="0.3">
      <c r="A27" s="5" t="s">
        <v>66</v>
      </c>
      <c r="B27" s="6" t="s">
        <v>67</v>
      </c>
      <c r="C27" s="5">
        <v>1</v>
      </c>
      <c r="D27" s="7">
        <v>1</v>
      </c>
      <c r="E27" s="6" t="s">
        <v>68</v>
      </c>
      <c r="F27" s="6" t="s">
        <v>69</v>
      </c>
    </row>
    <row r="28" spans="1:6" ht="26.4" x14ac:dyDescent="0.3">
      <c r="A28" s="2" t="s">
        <v>66</v>
      </c>
      <c r="B28" s="3" t="s">
        <v>67</v>
      </c>
      <c r="C28" s="2">
        <v>2</v>
      </c>
      <c r="D28" s="7">
        <v>1</v>
      </c>
      <c r="E28" s="3" t="s">
        <v>70</v>
      </c>
      <c r="F28" s="3" t="s">
        <v>71</v>
      </c>
    </row>
    <row r="29" spans="1:6" ht="26.4" x14ac:dyDescent="0.3">
      <c r="A29" s="5" t="s">
        <v>66</v>
      </c>
      <c r="B29" s="6" t="s">
        <v>67</v>
      </c>
      <c r="C29" s="5">
        <v>3</v>
      </c>
      <c r="D29" s="4">
        <v>0</v>
      </c>
      <c r="E29" s="6" t="s">
        <v>72</v>
      </c>
      <c r="F29" s="6" t="s">
        <v>73</v>
      </c>
    </row>
    <row r="30" spans="1:6" ht="26.4" x14ac:dyDescent="0.3">
      <c r="A30" s="2" t="s">
        <v>66</v>
      </c>
      <c r="B30" s="3" t="s">
        <v>67</v>
      </c>
      <c r="C30" s="2">
        <v>4</v>
      </c>
      <c r="D30" s="4">
        <v>0</v>
      </c>
      <c r="E30" s="3" t="s">
        <v>74</v>
      </c>
      <c r="F30" s="3" t="s">
        <v>75</v>
      </c>
    </row>
    <row r="31" spans="1:6" ht="26.4" x14ac:dyDescent="0.3">
      <c r="A31" s="5" t="s">
        <v>66</v>
      </c>
      <c r="B31" s="6" t="s">
        <v>67</v>
      </c>
      <c r="C31" s="5">
        <v>5</v>
      </c>
      <c r="D31" s="4">
        <v>0</v>
      </c>
      <c r="E31" s="6" t="s">
        <v>76</v>
      </c>
      <c r="F31" s="6" t="s">
        <v>77</v>
      </c>
    </row>
    <row r="32" spans="1:6" ht="26.4" x14ac:dyDescent="0.3">
      <c r="A32" s="2" t="s">
        <v>78</v>
      </c>
      <c r="B32" s="3" t="s">
        <v>79</v>
      </c>
      <c r="C32" s="2">
        <v>1</v>
      </c>
      <c r="D32" s="4">
        <v>0</v>
      </c>
      <c r="E32" s="3" t="s">
        <v>80</v>
      </c>
      <c r="F32" s="3" t="s">
        <v>81</v>
      </c>
    </row>
    <row r="33" spans="1:6" ht="26.4" x14ac:dyDescent="0.3">
      <c r="A33" s="5" t="s">
        <v>78</v>
      </c>
      <c r="B33" s="6" t="s">
        <v>79</v>
      </c>
      <c r="C33" s="5">
        <v>2</v>
      </c>
      <c r="D33" s="4">
        <v>0</v>
      </c>
      <c r="E33" s="6" t="s">
        <v>82</v>
      </c>
      <c r="F33" s="6" t="s">
        <v>83</v>
      </c>
    </row>
    <row r="34" spans="1:6" ht="26.4" x14ac:dyDescent="0.3">
      <c r="A34" s="2" t="s">
        <v>78</v>
      </c>
      <c r="B34" s="3" t="s">
        <v>79</v>
      </c>
      <c r="C34" s="2">
        <v>3</v>
      </c>
      <c r="D34" s="4">
        <v>0</v>
      </c>
      <c r="E34" s="3" t="s">
        <v>84</v>
      </c>
      <c r="F34" s="3" t="s">
        <v>85</v>
      </c>
    </row>
    <row r="35" spans="1:6" ht="26.4" x14ac:dyDescent="0.3">
      <c r="A35" s="5" t="s">
        <v>78</v>
      </c>
      <c r="B35" s="6" t="s">
        <v>79</v>
      </c>
      <c r="C35" s="5">
        <v>4</v>
      </c>
      <c r="D35" s="7">
        <v>1</v>
      </c>
      <c r="E35" s="6" t="s">
        <v>86</v>
      </c>
      <c r="F35" s="6" t="s">
        <v>87</v>
      </c>
    </row>
    <row r="36" spans="1:6" ht="26.4" x14ac:dyDescent="0.3">
      <c r="A36" s="2" t="s">
        <v>78</v>
      </c>
      <c r="B36" s="3" t="s">
        <v>79</v>
      </c>
      <c r="C36" s="2">
        <v>5</v>
      </c>
      <c r="D36" s="4">
        <v>0</v>
      </c>
      <c r="E36" s="3" t="s">
        <v>88</v>
      </c>
      <c r="F36" s="3" t="s">
        <v>89</v>
      </c>
    </row>
    <row r="37" spans="1:6" ht="26.4" x14ac:dyDescent="0.3">
      <c r="A37" s="5" t="s">
        <v>90</v>
      </c>
      <c r="B37" s="6" t="s">
        <v>91</v>
      </c>
      <c r="C37" s="5">
        <v>1</v>
      </c>
      <c r="D37" s="8">
        <v>2</v>
      </c>
      <c r="E37" s="6" t="s">
        <v>92</v>
      </c>
      <c r="F37" s="6" t="s">
        <v>93</v>
      </c>
    </row>
    <row r="38" spans="1:6" ht="26.4" x14ac:dyDescent="0.3">
      <c r="A38" s="2" t="s">
        <v>90</v>
      </c>
      <c r="B38" s="3" t="s">
        <v>91</v>
      </c>
      <c r="C38" s="2">
        <v>2</v>
      </c>
      <c r="D38" s="4">
        <v>0</v>
      </c>
      <c r="E38" s="3" t="s">
        <v>94</v>
      </c>
      <c r="F38" s="3" t="s">
        <v>95</v>
      </c>
    </row>
    <row r="39" spans="1:6" ht="26.4" x14ac:dyDescent="0.3">
      <c r="A39" s="5" t="s">
        <v>90</v>
      </c>
      <c r="B39" s="6" t="s">
        <v>91</v>
      </c>
      <c r="C39" s="5">
        <v>3</v>
      </c>
      <c r="D39" s="4">
        <v>0</v>
      </c>
      <c r="E39" s="6" t="s">
        <v>96</v>
      </c>
      <c r="F39" s="6" t="s">
        <v>97</v>
      </c>
    </row>
    <row r="40" spans="1:6" ht="26.4" x14ac:dyDescent="0.3">
      <c r="A40" s="2" t="s">
        <v>90</v>
      </c>
      <c r="B40" s="3" t="s">
        <v>91</v>
      </c>
      <c r="C40" s="2">
        <v>4</v>
      </c>
      <c r="D40" s="4">
        <v>0</v>
      </c>
      <c r="E40" s="3" t="s">
        <v>98</v>
      </c>
      <c r="F40" s="3" t="s">
        <v>99</v>
      </c>
    </row>
    <row r="41" spans="1:6" ht="26.4" x14ac:dyDescent="0.3">
      <c r="A41" s="5" t="s">
        <v>90</v>
      </c>
      <c r="B41" s="6" t="s">
        <v>91</v>
      </c>
      <c r="C41" s="5">
        <v>5</v>
      </c>
      <c r="D41" s="4">
        <v>0</v>
      </c>
      <c r="E41" s="6" t="s">
        <v>100</v>
      </c>
      <c r="F41" s="6" t="s">
        <v>101</v>
      </c>
    </row>
    <row r="42" spans="1:6" ht="26.4" x14ac:dyDescent="0.3">
      <c r="A42" s="2" t="s">
        <v>102</v>
      </c>
      <c r="B42" s="3" t="s">
        <v>103</v>
      </c>
      <c r="C42" s="2">
        <v>1</v>
      </c>
      <c r="D42" s="8">
        <v>2</v>
      </c>
      <c r="E42" s="3" t="s">
        <v>104</v>
      </c>
      <c r="F42" s="3" t="s">
        <v>105</v>
      </c>
    </row>
    <row r="43" spans="1:6" ht="26.4" x14ac:dyDescent="0.3">
      <c r="A43" s="5" t="s">
        <v>102</v>
      </c>
      <c r="B43" s="6" t="s">
        <v>103</v>
      </c>
      <c r="C43" s="5">
        <v>2</v>
      </c>
      <c r="D43" s="7">
        <v>1</v>
      </c>
      <c r="E43" s="6" t="s">
        <v>106</v>
      </c>
      <c r="F43" s="6" t="s">
        <v>107</v>
      </c>
    </row>
    <row r="44" spans="1:6" ht="26.4" x14ac:dyDescent="0.3">
      <c r="A44" s="2" t="s">
        <v>102</v>
      </c>
      <c r="B44" s="3" t="s">
        <v>103</v>
      </c>
      <c r="C44" s="2">
        <v>3</v>
      </c>
      <c r="D44" s="4">
        <v>0</v>
      </c>
      <c r="E44" s="3" t="s">
        <v>108</v>
      </c>
      <c r="F44" s="3" t="s">
        <v>109</v>
      </c>
    </row>
    <row r="45" spans="1:6" ht="26.4" x14ac:dyDescent="0.3">
      <c r="A45" s="5" t="s">
        <v>102</v>
      </c>
      <c r="B45" s="6" t="s">
        <v>103</v>
      </c>
      <c r="C45" s="5">
        <v>4</v>
      </c>
      <c r="D45" s="4">
        <v>0</v>
      </c>
      <c r="E45" s="6" t="s">
        <v>110</v>
      </c>
      <c r="F45" s="6" t="s">
        <v>111</v>
      </c>
    </row>
    <row r="46" spans="1:6" ht="26.4" x14ac:dyDescent="0.3">
      <c r="A46" s="2" t="s">
        <v>102</v>
      </c>
      <c r="B46" s="3" t="s">
        <v>103</v>
      </c>
      <c r="C46" s="2">
        <v>5</v>
      </c>
      <c r="D46" s="7">
        <v>1</v>
      </c>
      <c r="E46" s="3" t="s">
        <v>112</v>
      </c>
      <c r="F46" s="3" t="s">
        <v>113</v>
      </c>
    </row>
    <row r="47" spans="1:6" ht="26.4" x14ac:dyDescent="0.3">
      <c r="A47" s="5" t="s">
        <v>114</v>
      </c>
      <c r="B47" s="6" t="s">
        <v>115</v>
      </c>
      <c r="C47" s="5">
        <v>1</v>
      </c>
      <c r="D47" s="7">
        <v>1</v>
      </c>
      <c r="E47" s="6" t="s">
        <v>116</v>
      </c>
      <c r="F47" s="6" t="s">
        <v>117</v>
      </c>
    </row>
    <row r="48" spans="1:6" ht="26.4" x14ac:dyDescent="0.3">
      <c r="A48" s="2" t="s">
        <v>114</v>
      </c>
      <c r="B48" s="3" t="s">
        <v>115</v>
      </c>
      <c r="C48" s="2">
        <v>2</v>
      </c>
      <c r="D48" s="4">
        <v>0</v>
      </c>
      <c r="E48" s="3" t="s">
        <v>118</v>
      </c>
      <c r="F48" s="3" t="s">
        <v>119</v>
      </c>
    </row>
    <row r="49" spans="1:6" ht="26.4" x14ac:dyDescent="0.3">
      <c r="A49" s="5" t="s">
        <v>114</v>
      </c>
      <c r="B49" s="6" t="s">
        <v>115</v>
      </c>
      <c r="C49" s="5">
        <v>3</v>
      </c>
      <c r="D49" s="4">
        <v>0</v>
      </c>
      <c r="E49" s="6" t="s">
        <v>120</v>
      </c>
      <c r="F49" s="6" t="s">
        <v>121</v>
      </c>
    </row>
    <row r="50" spans="1:6" ht="26.4" x14ac:dyDescent="0.3">
      <c r="A50" s="2" t="s">
        <v>114</v>
      </c>
      <c r="B50" s="3" t="s">
        <v>115</v>
      </c>
      <c r="C50" s="2">
        <v>4</v>
      </c>
      <c r="D50" s="4">
        <v>0</v>
      </c>
      <c r="E50" s="3" t="s">
        <v>122</v>
      </c>
      <c r="F50" s="3" t="s">
        <v>123</v>
      </c>
    </row>
    <row r="51" spans="1:6" ht="26.4" x14ac:dyDescent="0.3">
      <c r="A51" s="5" t="s">
        <v>114</v>
      </c>
      <c r="B51" s="6" t="s">
        <v>115</v>
      </c>
      <c r="C51" s="5">
        <v>5</v>
      </c>
      <c r="D51" s="4">
        <v>0</v>
      </c>
      <c r="E51" s="6" t="s">
        <v>124</v>
      </c>
      <c r="F51" s="6" t="s">
        <v>125</v>
      </c>
    </row>
    <row r="52" spans="1:6" ht="26.4" x14ac:dyDescent="0.3">
      <c r="A52" s="2" t="s">
        <v>126</v>
      </c>
      <c r="B52" s="3" t="s">
        <v>127</v>
      </c>
      <c r="C52" s="2">
        <v>1</v>
      </c>
      <c r="D52" s="7">
        <v>1</v>
      </c>
      <c r="E52" s="3" t="s">
        <v>128</v>
      </c>
      <c r="F52" s="3" t="s">
        <v>129</v>
      </c>
    </row>
    <row r="53" spans="1:6" x14ac:dyDescent="0.3">
      <c r="A53" s="5" t="s">
        <v>126</v>
      </c>
      <c r="B53" s="6" t="s">
        <v>127</v>
      </c>
      <c r="C53" s="5">
        <v>2</v>
      </c>
      <c r="D53" s="4">
        <v>0</v>
      </c>
      <c r="E53" s="6" t="s">
        <v>130</v>
      </c>
      <c r="F53" s="6" t="s">
        <v>131</v>
      </c>
    </row>
    <row r="54" spans="1:6" x14ac:dyDescent="0.3">
      <c r="A54" s="2" t="s">
        <v>126</v>
      </c>
      <c r="B54" s="3" t="s">
        <v>127</v>
      </c>
      <c r="C54" s="2">
        <v>3</v>
      </c>
      <c r="D54" s="4">
        <v>0</v>
      </c>
      <c r="E54" s="3" t="s">
        <v>132</v>
      </c>
      <c r="F54" s="3" t="s">
        <v>133</v>
      </c>
    </row>
    <row r="55" spans="1:6" ht="26.4" x14ac:dyDescent="0.3">
      <c r="A55" s="5" t="s">
        <v>126</v>
      </c>
      <c r="B55" s="6" t="s">
        <v>127</v>
      </c>
      <c r="C55" s="5">
        <v>4</v>
      </c>
      <c r="D55" s="4">
        <v>0</v>
      </c>
      <c r="E55" s="6" t="s">
        <v>134</v>
      </c>
      <c r="F55" s="6" t="s">
        <v>135</v>
      </c>
    </row>
    <row r="56" spans="1:6" ht="26.4" x14ac:dyDescent="0.3">
      <c r="A56" s="2" t="s">
        <v>126</v>
      </c>
      <c r="B56" s="3" t="s">
        <v>127</v>
      </c>
      <c r="C56" s="2">
        <v>5</v>
      </c>
      <c r="D56" s="4">
        <v>0</v>
      </c>
      <c r="E56" s="3" t="s">
        <v>136</v>
      </c>
      <c r="F56" s="3" t="s">
        <v>137</v>
      </c>
    </row>
    <row r="57" spans="1:6" ht="26.4" x14ac:dyDescent="0.3">
      <c r="A57" s="5" t="s">
        <v>138</v>
      </c>
      <c r="B57" s="6" t="s">
        <v>139</v>
      </c>
      <c r="C57" s="5">
        <v>1</v>
      </c>
      <c r="D57" s="7">
        <v>1</v>
      </c>
      <c r="E57" s="6" t="s">
        <v>140</v>
      </c>
      <c r="F57" s="6" t="s">
        <v>141</v>
      </c>
    </row>
    <row r="58" spans="1:6" ht="26.4" x14ac:dyDescent="0.3">
      <c r="A58" s="2" t="s">
        <v>138</v>
      </c>
      <c r="B58" s="3" t="s">
        <v>139</v>
      </c>
      <c r="C58" s="2">
        <v>2</v>
      </c>
      <c r="D58" s="8">
        <v>2</v>
      </c>
      <c r="E58" s="3" t="s">
        <v>142</v>
      </c>
      <c r="F58" s="3" t="s">
        <v>143</v>
      </c>
    </row>
    <row r="59" spans="1:6" ht="26.4" x14ac:dyDescent="0.3">
      <c r="A59" s="5" t="s">
        <v>138</v>
      </c>
      <c r="B59" s="6" t="s">
        <v>139</v>
      </c>
      <c r="C59" s="5">
        <v>3</v>
      </c>
      <c r="D59" s="4">
        <v>0</v>
      </c>
      <c r="E59" s="6" t="s">
        <v>144</v>
      </c>
      <c r="F59" s="6" t="s">
        <v>145</v>
      </c>
    </row>
    <row r="60" spans="1:6" ht="26.4" x14ac:dyDescent="0.3">
      <c r="A60" s="2" t="s">
        <v>138</v>
      </c>
      <c r="B60" s="3" t="s">
        <v>139</v>
      </c>
      <c r="C60" s="2">
        <v>4</v>
      </c>
      <c r="D60" s="7">
        <v>1</v>
      </c>
      <c r="E60" s="3" t="s">
        <v>146</v>
      </c>
      <c r="F60" s="3" t="s">
        <v>147</v>
      </c>
    </row>
    <row r="61" spans="1:6" ht="26.4" x14ac:dyDescent="0.3">
      <c r="A61" s="5" t="s">
        <v>138</v>
      </c>
      <c r="B61" s="6" t="s">
        <v>139</v>
      </c>
      <c r="C61" s="5">
        <v>5</v>
      </c>
      <c r="D61" s="4">
        <v>0</v>
      </c>
      <c r="E61" s="6" t="s">
        <v>148</v>
      </c>
      <c r="F61" s="6" t="s">
        <v>149</v>
      </c>
    </row>
    <row r="62" spans="1:6" ht="26.4" x14ac:dyDescent="0.3">
      <c r="A62" s="2" t="s">
        <v>150</v>
      </c>
      <c r="B62" s="3" t="s">
        <v>151</v>
      </c>
      <c r="C62" s="2">
        <v>1</v>
      </c>
      <c r="D62" s="8">
        <v>2</v>
      </c>
      <c r="E62" s="3" t="s">
        <v>152</v>
      </c>
      <c r="F62" s="3" t="s">
        <v>153</v>
      </c>
    </row>
    <row r="63" spans="1:6" x14ac:dyDescent="0.3">
      <c r="A63" s="5" t="s">
        <v>150</v>
      </c>
      <c r="B63" s="6" t="s">
        <v>151</v>
      </c>
      <c r="C63" s="5">
        <v>2</v>
      </c>
      <c r="D63" s="4">
        <v>0</v>
      </c>
      <c r="E63" s="6" t="s">
        <v>154</v>
      </c>
      <c r="F63" s="6" t="s">
        <v>155</v>
      </c>
    </row>
    <row r="64" spans="1:6" x14ac:dyDescent="0.3">
      <c r="A64" s="2" t="s">
        <v>150</v>
      </c>
      <c r="B64" s="3" t="s">
        <v>151</v>
      </c>
      <c r="C64" s="2">
        <v>3</v>
      </c>
      <c r="D64" s="4">
        <v>0</v>
      </c>
      <c r="E64" s="3" t="s">
        <v>156</v>
      </c>
      <c r="F64" s="3" t="s">
        <v>157</v>
      </c>
    </row>
    <row r="65" spans="1:6" ht="26.4" x14ac:dyDescent="0.3">
      <c r="A65" s="5" t="s">
        <v>150</v>
      </c>
      <c r="B65" s="6" t="s">
        <v>151</v>
      </c>
      <c r="C65" s="5">
        <v>4</v>
      </c>
      <c r="D65" s="7">
        <v>1</v>
      </c>
      <c r="E65" s="6" t="s">
        <v>158</v>
      </c>
      <c r="F65" s="6" t="s">
        <v>159</v>
      </c>
    </row>
    <row r="66" spans="1:6" x14ac:dyDescent="0.3">
      <c r="A66" s="2" t="s">
        <v>150</v>
      </c>
      <c r="B66" s="3" t="s">
        <v>151</v>
      </c>
      <c r="C66" s="2">
        <v>5</v>
      </c>
      <c r="D66" s="4">
        <v>0</v>
      </c>
      <c r="E66" s="3" t="s">
        <v>160</v>
      </c>
      <c r="F66" s="3" t="s">
        <v>63</v>
      </c>
    </row>
    <row r="67" spans="1:6" ht="26.4" x14ac:dyDescent="0.3">
      <c r="A67" s="5" t="s">
        <v>161</v>
      </c>
      <c r="B67" s="6" t="s">
        <v>162</v>
      </c>
      <c r="C67" s="5">
        <v>1</v>
      </c>
      <c r="D67" s="8">
        <v>2</v>
      </c>
      <c r="E67" s="6" t="s">
        <v>163</v>
      </c>
      <c r="F67" s="6" t="s">
        <v>164</v>
      </c>
    </row>
    <row r="68" spans="1:6" ht="26.4" x14ac:dyDescent="0.3">
      <c r="A68" s="2" t="s">
        <v>161</v>
      </c>
      <c r="B68" s="3" t="s">
        <v>162</v>
      </c>
      <c r="C68" s="2">
        <v>2</v>
      </c>
      <c r="D68" s="8">
        <v>2</v>
      </c>
      <c r="E68" s="3" t="s">
        <v>165</v>
      </c>
      <c r="F68" s="3" t="s">
        <v>166</v>
      </c>
    </row>
    <row r="69" spans="1:6" x14ac:dyDescent="0.3">
      <c r="A69" s="5" t="s">
        <v>161</v>
      </c>
      <c r="B69" s="6" t="s">
        <v>162</v>
      </c>
      <c r="C69" s="5">
        <v>3</v>
      </c>
      <c r="D69" s="4">
        <v>0</v>
      </c>
      <c r="E69" s="6" t="s">
        <v>167</v>
      </c>
      <c r="F69" s="6" t="s">
        <v>168</v>
      </c>
    </row>
    <row r="70" spans="1:6" x14ac:dyDescent="0.3">
      <c r="A70" s="2" t="s">
        <v>161</v>
      </c>
      <c r="B70" s="3" t="s">
        <v>162</v>
      </c>
      <c r="C70" s="2">
        <v>4</v>
      </c>
      <c r="D70" s="4">
        <v>0</v>
      </c>
      <c r="E70" s="3" t="s">
        <v>169</v>
      </c>
      <c r="F70" s="3" t="s">
        <v>170</v>
      </c>
    </row>
    <row r="71" spans="1:6" ht="26.4" x14ac:dyDescent="0.3">
      <c r="A71" s="5" t="s">
        <v>161</v>
      </c>
      <c r="B71" s="6" t="s">
        <v>162</v>
      </c>
      <c r="C71" s="5">
        <v>5</v>
      </c>
      <c r="D71" s="7">
        <v>1</v>
      </c>
      <c r="E71" s="6" t="s">
        <v>171</v>
      </c>
      <c r="F71" s="6" t="s">
        <v>172</v>
      </c>
    </row>
    <row r="72" spans="1:6" ht="26.4" x14ac:dyDescent="0.3">
      <c r="A72" s="2" t="s">
        <v>173</v>
      </c>
      <c r="B72" s="3" t="s">
        <v>174</v>
      </c>
      <c r="C72" s="2">
        <v>1</v>
      </c>
      <c r="D72" s="7">
        <v>1</v>
      </c>
      <c r="E72" s="3" t="s">
        <v>175</v>
      </c>
      <c r="F72" s="3" t="s">
        <v>176</v>
      </c>
    </row>
    <row r="73" spans="1:6" ht="26.4" x14ac:dyDescent="0.3">
      <c r="A73" s="5" t="s">
        <v>173</v>
      </c>
      <c r="B73" s="6" t="s">
        <v>174</v>
      </c>
      <c r="C73" s="5">
        <v>2</v>
      </c>
      <c r="D73" s="8">
        <v>2</v>
      </c>
      <c r="E73" s="6" t="s">
        <v>177</v>
      </c>
      <c r="F73" s="6" t="s">
        <v>178</v>
      </c>
    </row>
    <row r="74" spans="1:6" ht="26.4" x14ac:dyDescent="0.3">
      <c r="A74" s="2" t="s">
        <v>173</v>
      </c>
      <c r="B74" s="3" t="s">
        <v>174</v>
      </c>
      <c r="C74" s="2">
        <v>3</v>
      </c>
      <c r="D74" s="8">
        <v>2</v>
      </c>
      <c r="E74" s="3" t="s">
        <v>179</v>
      </c>
      <c r="F74" s="3" t="s">
        <v>180</v>
      </c>
    </row>
    <row r="75" spans="1:6" ht="26.4" x14ac:dyDescent="0.3">
      <c r="A75" s="5" t="s">
        <v>173</v>
      </c>
      <c r="B75" s="6" t="s">
        <v>174</v>
      </c>
      <c r="C75" s="5">
        <v>4</v>
      </c>
      <c r="D75" s="4">
        <v>0</v>
      </c>
      <c r="E75" s="6" t="s">
        <v>181</v>
      </c>
      <c r="F75" s="6" t="s">
        <v>89</v>
      </c>
    </row>
    <row r="76" spans="1:6" ht="26.4" x14ac:dyDescent="0.3">
      <c r="A76" s="2" t="s">
        <v>173</v>
      </c>
      <c r="B76" s="3" t="s">
        <v>174</v>
      </c>
      <c r="C76" s="2">
        <v>5</v>
      </c>
      <c r="D76" s="4">
        <v>0</v>
      </c>
      <c r="E76" s="3" t="s">
        <v>182</v>
      </c>
      <c r="F76" s="3" t="s">
        <v>183</v>
      </c>
    </row>
    <row r="77" spans="1:6" ht="26.4" x14ac:dyDescent="0.3">
      <c r="A77" s="5" t="s">
        <v>184</v>
      </c>
      <c r="B77" s="6" t="s">
        <v>185</v>
      </c>
      <c r="C77" s="5">
        <v>1</v>
      </c>
      <c r="D77" s="8">
        <v>2</v>
      </c>
      <c r="E77" s="6" t="s">
        <v>186</v>
      </c>
      <c r="F77" s="6" t="s">
        <v>187</v>
      </c>
    </row>
    <row r="78" spans="1:6" ht="26.4" x14ac:dyDescent="0.3">
      <c r="A78" s="2" t="s">
        <v>184</v>
      </c>
      <c r="B78" s="3" t="s">
        <v>185</v>
      </c>
      <c r="C78" s="2">
        <v>2</v>
      </c>
      <c r="D78" s="8">
        <v>2</v>
      </c>
      <c r="E78" s="3" t="s">
        <v>188</v>
      </c>
      <c r="F78" s="3" t="s">
        <v>189</v>
      </c>
    </row>
    <row r="79" spans="1:6" ht="26.4" x14ac:dyDescent="0.3">
      <c r="A79" s="5" t="s">
        <v>184</v>
      </c>
      <c r="B79" s="6" t="s">
        <v>185</v>
      </c>
      <c r="C79" s="5">
        <v>3</v>
      </c>
      <c r="D79" s="7">
        <v>1</v>
      </c>
      <c r="E79" s="6" t="s">
        <v>190</v>
      </c>
      <c r="F79" s="6" t="s">
        <v>191</v>
      </c>
    </row>
    <row r="80" spans="1:6" ht="26.4" x14ac:dyDescent="0.3">
      <c r="A80" s="2" t="s">
        <v>184</v>
      </c>
      <c r="B80" s="3" t="s">
        <v>185</v>
      </c>
      <c r="C80" s="2">
        <v>4</v>
      </c>
      <c r="D80" s="4">
        <v>0</v>
      </c>
      <c r="E80" s="3" t="s">
        <v>192</v>
      </c>
      <c r="F80" s="3" t="s">
        <v>193</v>
      </c>
    </row>
    <row r="81" spans="1:6" ht="26.4" x14ac:dyDescent="0.3">
      <c r="A81" s="5" t="s">
        <v>184</v>
      </c>
      <c r="B81" s="6" t="s">
        <v>185</v>
      </c>
      <c r="C81" s="5">
        <v>5</v>
      </c>
      <c r="D81" s="7">
        <v>1</v>
      </c>
      <c r="E81" s="6" t="s">
        <v>194</v>
      </c>
      <c r="F81" s="6" t="s">
        <v>195</v>
      </c>
    </row>
    <row r="82" spans="1:6" ht="26.4" x14ac:dyDescent="0.3">
      <c r="A82" s="2" t="s">
        <v>196</v>
      </c>
      <c r="B82" s="3" t="s">
        <v>197</v>
      </c>
      <c r="C82" s="2">
        <v>1</v>
      </c>
      <c r="D82" s="7">
        <v>1</v>
      </c>
      <c r="E82" s="3" t="s">
        <v>198</v>
      </c>
      <c r="F82" s="3" t="s">
        <v>199</v>
      </c>
    </row>
    <row r="83" spans="1:6" ht="26.4" x14ac:dyDescent="0.3">
      <c r="A83" s="5" t="s">
        <v>196</v>
      </c>
      <c r="B83" s="6" t="s">
        <v>197</v>
      </c>
      <c r="C83" s="5">
        <v>2</v>
      </c>
      <c r="D83" s="8">
        <v>2</v>
      </c>
      <c r="E83" s="6" t="s">
        <v>200</v>
      </c>
      <c r="F83" s="6" t="s">
        <v>201</v>
      </c>
    </row>
    <row r="84" spans="1:6" ht="26.4" x14ac:dyDescent="0.3">
      <c r="A84" s="2" t="s">
        <v>196</v>
      </c>
      <c r="B84" s="3" t="s">
        <v>197</v>
      </c>
      <c r="C84" s="2">
        <v>3</v>
      </c>
      <c r="D84" s="7">
        <v>1</v>
      </c>
      <c r="E84" s="3" t="s">
        <v>202</v>
      </c>
      <c r="F84" s="3" t="s">
        <v>203</v>
      </c>
    </row>
    <row r="85" spans="1:6" ht="26.4" x14ac:dyDescent="0.3">
      <c r="A85" s="5" t="s">
        <v>196</v>
      </c>
      <c r="B85" s="6" t="s">
        <v>197</v>
      </c>
      <c r="C85" s="5">
        <v>4</v>
      </c>
      <c r="D85" s="8">
        <v>2</v>
      </c>
      <c r="E85" s="6" t="s">
        <v>204</v>
      </c>
      <c r="F85" s="6" t="s">
        <v>205</v>
      </c>
    </row>
    <row r="86" spans="1:6" ht="26.4" x14ac:dyDescent="0.3">
      <c r="A86" s="2" t="s">
        <v>196</v>
      </c>
      <c r="B86" s="3" t="s">
        <v>197</v>
      </c>
      <c r="C86" s="2">
        <v>5</v>
      </c>
      <c r="D86" s="7">
        <v>1</v>
      </c>
      <c r="E86" s="3" t="s">
        <v>206</v>
      </c>
      <c r="F86" s="3" t="s">
        <v>207</v>
      </c>
    </row>
    <row r="87" spans="1:6" ht="26.4" x14ac:dyDescent="0.3">
      <c r="A87" s="5" t="s">
        <v>208</v>
      </c>
      <c r="B87" s="6" t="s">
        <v>209</v>
      </c>
      <c r="C87" s="5">
        <v>1</v>
      </c>
      <c r="D87" s="8">
        <v>2</v>
      </c>
      <c r="E87" s="6" t="s">
        <v>210</v>
      </c>
      <c r="F87" s="6" t="s">
        <v>211</v>
      </c>
    </row>
    <row r="88" spans="1:6" ht="26.4" x14ac:dyDescent="0.3">
      <c r="A88" s="2" t="s">
        <v>208</v>
      </c>
      <c r="B88" s="3" t="s">
        <v>209</v>
      </c>
      <c r="C88" s="2">
        <v>2</v>
      </c>
      <c r="D88" s="7">
        <v>1</v>
      </c>
      <c r="E88" s="3" t="s">
        <v>212</v>
      </c>
      <c r="F88" s="3" t="s">
        <v>213</v>
      </c>
    </row>
    <row r="89" spans="1:6" ht="26.4" x14ac:dyDescent="0.3">
      <c r="A89" s="5" t="s">
        <v>208</v>
      </c>
      <c r="B89" s="6" t="s">
        <v>209</v>
      </c>
      <c r="C89" s="5">
        <v>3</v>
      </c>
      <c r="D89" s="4">
        <v>0</v>
      </c>
      <c r="E89" s="6" t="s">
        <v>214</v>
      </c>
      <c r="F89" s="6" t="s">
        <v>215</v>
      </c>
    </row>
    <row r="90" spans="1:6" ht="26.4" x14ac:dyDescent="0.3">
      <c r="A90" s="2" t="s">
        <v>208</v>
      </c>
      <c r="B90" s="3" t="s">
        <v>209</v>
      </c>
      <c r="C90" s="2">
        <v>4</v>
      </c>
      <c r="D90" s="4">
        <v>0</v>
      </c>
      <c r="E90" s="3" t="s">
        <v>216</v>
      </c>
      <c r="F90" s="3" t="s">
        <v>217</v>
      </c>
    </row>
    <row r="91" spans="1:6" ht="26.4" x14ac:dyDescent="0.3">
      <c r="A91" s="5" t="s">
        <v>208</v>
      </c>
      <c r="B91" s="6" t="s">
        <v>209</v>
      </c>
      <c r="C91" s="5">
        <v>5</v>
      </c>
      <c r="D91" s="7">
        <v>1</v>
      </c>
      <c r="E91" s="6" t="s">
        <v>218</v>
      </c>
      <c r="F91" s="6" t="s">
        <v>219</v>
      </c>
    </row>
    <row r="92" spans="1:6" ht="26.4" x14ac:dyDescent="0.3">
      <c r="A92" s="2" t="s">
        <v>220</v>
      </c>
      <c r="B92" s="3" t="s">
        <v>221</v>
      </c>
      <c r="C92" s="2">
        <v>1</v>
      </c>
      <c r="D92" s="8">
        <v>2</v>
      </c>
      <c r="E92" s="3" t="s">
        <v>222</v>
      </c>
      <c r="F92" s="3" t="s">
        <v>223</v>
      </c>
    </row>
    <row r="93" spans="1:6" ht="26.4" x14ac:dyDescent="0.3">
      <c r="A93" s="5" t="s">
        <v>220</v>
      </c>
      <c r="B93" s="6" t="s">
        <v>221</v>
      </c>
      <c r="C93" s="5">
        <v>2</v>
      </c>
      <c r="D93" s="8">
        <v>2</v>
      </c>
      <c r="E93" s="6" t="s">
        <v>224</v>
      </c>
      <c r="F93" s="6" t="s">
        <v>225</v>
      </c>
    </row>
    <row r="94" spans="1:6" ht="26.4" x14ac:dyDescent="0.3">
      <c r="A94" s="2" t="s">
        <v>220</v>
      </c>
      <c r="B94" s="3" t="s">
        <v>221</v>
      </c>
      <c r="C94" s="2">
        <v>3</v>
      </c>
      <c r="D94" s="7">
        <v>1</v>
      </c>
      <c r="E94" s="3" t="s">
        <v>226</v>
      </c>
      <c r="F94" s="3" t="s">
        <v>227</v>
      </c>
    </row>
    <row r="95" spans="1:6" ht="26.4" x14ac:dyDescent="0.3">
      <c r="A95" s="5" t="s">
        <v>220</v>
      </c>
      <c r="B95" s="6" t="s">
        <v>221</v>
      </c>
      <c r="C95" s="5">
        <v>4</v>
      </c>
      <c r="D95" s="7">
        <v>1</v>
      </c>
      <c r="E95" s="6" t="s">
        <v>228</v>
      </c>
      <c r="F95" s="6" t="s">
        <v>229</v>
      </c>
    </row>
    <row r="96" spans="1:6" ht="26.4" x14ac:dyDescent="0.3">
      <c r="A96" s="2" t="s">
        <v>220</v>
      </c>
      <c r="B96" s="3" t="s">
        <v>221</v>
      </c>
      <c r="C96" s="2">
        <v>5</v>
      </c>
      <c r="D96" s="7">
        <v>1</v>
      </c>
      <c r="E96" s="3" t="s">
        <v>230</v>
      </c>
      <c r="F96" s="3" t="s">
        <v>231</v>
      </c>
    </row>
    <row r="97" spans="1:6" ht="26.4" x14ac:dyDescent="0.3">
      <c r="A97" s="5" t="s">
        <v>232</v>
      </c>
      <c r="B97" s="6" t="s">
        <v>233</v>
      </c>
      <c r="C97" s="5">
        <v>1</v>
      </c>
      <c r="D97" s="7">
        <v>1</v>
      </c>
      <c r="E97" s="6" t="s">
        <v>234</v>
      </c>
      <c r="F97" s="6" t="s">
        <v>235</v>
      </c>
    </row>
    <row r="98" spans="1:6" ht="26.4" x14ac:dyDescent="0.3">
      <c r="A98" s="2" t="s">
        <v>232</v>
      </c>
      <c r="B98" s="3" t="s">
        <v>233</v>
      </c>
      <c r="C98" s="2">
        <v>2</v>
      </c>
      <c r="D98" s="4">
        <v>0</v>
      </c>
      <c r="E98" s="3" t="s">
        <v>236</v>
      </c>
      <c r="F98" s="3" t="s">
        <v>131</v>
      </c>
    </row>
    <row r="99" spans="1:6" ht="26.4" x14ac:dyDescent="0.3">
      <c r="A99" s="5" t="s">
        <v>232</v>
      </c>
      <c r="B99" s="6" t="s">
        <v>233</v>
      </c>
      <c r="C99" s="5">
        <v>3</v>
      </c>
      <c r="D99" s="7">
        <v>1</v>
      </c>
      <c r="E99" s="6" t="s">
        <v>237</v>
      </c>
      <c r="F99" s="6" t="s">
        <v>238</v>
      </c>
    </row>
    <row r="100" spans="1:6" ht="26.4" x14ac:dyDescent="0.3">
      <c r="A100" s="2" t="s">
        <v>232</v>
      </c>
      <c r="B100" s="3" t="s">
        <v>233</v>
      </c>
      <c r="C100" s="2">
        <v>4</v>
      </c>
      <c r="D100" s="4">
        <v>0</v>
      </c>
      <c r="E100" s="3" t="s">
        <v>239</v>
      </c>
      <c r="F100" s="3" t="s">
        <v>240</v>
      </c>
    </row>
    <row r="101" spans="1:6" ht="26.4" x14ac:dyDescent="0.3">
      <c r="A101" s="5" t="s">
        <v>232</v>
      </c>
      <c r="B101" s="6" t="s">
        <v>233</v>
      </c>
      <c r="C101" s="5">
        <v>5</v>
      </c>
      <c r="D101" s="4">
        <v>0</v>
      </c>
      <c r="E101" s="6" t="s">
        <v>241</v>
      </c>
      <c r="F101" s="6" t="s">
        <v>217</v>
      </c>
    </row>
    <row r="102" spans="1:6" ht="26.4" x14ac:dyDescent="0.3">
      <c r="A102" s="2" t="s">
        <v>242</v>
      </c>
      <c r="B102" s="3" t="s">
        <v>243</v>
      </c>
      <c r="C102" s="2">
        <v>1</v>
      </c>
      <c r="D102" s="8">
        <v>2</v>
      </c>
      <c r="E102" s="3" t="s">
        <v>244</v>
      </c>
      <c r="F102" s="3" t="s">
        <v>245</v>
      </c>
    </row>
    <row r="103" spans="1:6" ht="26.4" x14ac:dyDescent="0.3">
      <c r="A103" s="5" t="s">
        <v>242</v>
      </c>
      <c r="B103" s="6" t="s">
        <v>243</v>
      </c>
      <c r="C103" s="5">
        <v>2</v>
      </c>
      <c r="D103" s="7">
        <v>1</v>
      </c>
      <c r="E103" s="6" t="s">
        <v>246</v>
      </c>
      <c r="F103" s="6" t="s">
        <v>247</v>
      </c>
    </row>
    <row r="104" spans="1:6" ht="26.4" x14ac:dyDescent="0.3">
      <c r="A104" s="2" t="s">
        <v>242</v>
      </c>
      <c r="B104" s="3" t="s">
        <v>243</v>
      </c>
      <c r="C104" s="2">
        <v>3</v>
      </c>
      <c r="D104" s="4">
        <v>0</v>
      </c>
      <c r="E104" s="3" t="s">
        <v>248</v>
      </c>
      <c r="F104" s="3" t="s">
        <v>249</v>
      </c>
    </row>
    <row r="105" spans="1:6" ht="26.4" x14ac:dyDescent="0.3">
      <c r="A105" s="5" t="s">
        <v>242</v>
      </c>
      <c r="B105" s="6" t="s">
        <v>243</v>
      </c>
      <c r="C105" s="5">
        <v>4</v>
      </c>
      <c r="D105" s="8">
        <v>2</v>
      </c>
      <c r="E105" s="6" t="s">
        <v>250</v>
      </c>
      <c r="F105" s="6" t="s">
        <v>251</v>
      </c>
    </row>
    <row r="106" spans="1:6" ht="26.4" x14ac:dyDescent="0.3">
      <c r="A106" s="2" t="s">
        <v>242</v>
      </c>
      <c r="B106" s="3" t="s">
        <v>243</v>
      </c>
      <c r="C106" s="2">
        <v>5</v>
      </c>
      <c r="D106" s="7">
        <v>1</v>
      </c>
      <c r="E106" s="3" t="s">
        <v>252</v>
      </c>
      <c r="F106" s="3" t="s">
        <v>253</v>
      </c>
    </row>
    <row r="107" spans="1:6" ht="26.4" x14ac:dyDescent="0.3">
      <c r="A107" s="5" t="s">
        <v>254</v>
      </c>
      <c r="B107" s="6" t="s">
        <v>255</v>
      </c>
      <c r="C107" s="5">
        <v>1</v>
      </c>
      <c r="D107" s="8">
        <v>2</v>
      </c>
      <c r="E107" s="6" t="s">
        <v>256</v>
      </c>
      <c r="F107" s="6" t="s">
        <v>257</v>
      </c>
    </row>
    <row r="108" spans="1:6" ht="26.4" x14ac:dyDescent="0.3">
      <c r="A108" s="2" t="s">
        <v>254</v>
      </c>
      <c r="B108" s="3" t="s">
        <v>255</v>
      </c>
      <c r="C108" s="2">
        <v>2</v>
      </c>
      <c r="D108" s="4">
        <v>0</v>
      </c>
      <c r="E108" s="3" t="s">
        <v>258</v>
      </c>
      <c r="F108" s="3" t="s">
        <v>259</v>
      </c>
    </row>
    <row r="109" spans="1:6" ht="26.4" x14ac:dyDescent="0.3">
      <c r="A109" s="5" t="s">
        <v>254</v>
      </c>
      <c r="B109" s="6" t="s">
        <v>255</v>
      </c>
      <c r="C109" s="5">
        <v>3</v>
      </c>
      <c r="D109" s="7">
        <v>1</v>
      </c>
      <c r="E109" s="6" t="s">
        <v>260</v>
      </c>
      <c r="F109" s="6" t="s">
        <v>261</v>
      </c>
    </row>
    <row r="110" spans="1:6" ht="26.4" x14ac:dyDescent="0.3">
      <c r="A110" s="2" t="s">
        <v>254</v>
      </c>
      <c r="B110" s="3" t="s">
        <v>255</v>
      </c>
      <c r="C110" s="2">
        <v>4</v>
      </c>
      <c r="D110" s="4">
        <v>0</v>
      </c>
      <c r="E110" s="3" t="s">
        <v>262</v>
      </c>
      <c r="F110" s="3" t="s">
        <v>263</v>
      </c>
    </row>
    <row r="111" spans="1:6" ht="26.4" x14ac:dyDescent="0.3">
      <c r="A111" s="5" t="s">
        <v>254</v>
      </c>
      <c r="B111" s="6" t="s">
        <v>255</v>
      </c>
      <c r="C111" s="5">
        <v>5</v>
      </c>
      <c r="D111" s="4">
        <v>0</v>
      </c>
      <c r="E111" s="6" t="s">
        <v>264</v>
      </c>
      <c r="F111" s="6" t="s">
        <v>265</v>
      </c>
    </row>
    <row r="112" spans="1:6" ht="26.4" x14ac:dyDescent="0.3">
      <c r="A112" s="2" t="s">
        <v>266</v>
      </c>
      <c r="B112" s="3" t="s">
        <v>267</v>
      </c>
      <c r="C112" s="2">
        <v>1</v>
      </c>
      <c r="D112" s="8">
        <v>2</v>
      </c>
      <c r="E112" s="3" t="s">
        <v>268</v>
      </c>
      <c r="F112" s="3" t="s">
        <v>269</v>
      </c>
    </row>
    <row r="113" spans="1:6" ht="26.4" x14ac:dyDescent="0.3">
      <c r="A113" s="5" t="s">
        <v>266</v>
      </c>
      <c r="B113" s="6" t="s">
        <v>267</v>
      </c>
      <c r="C113" s="5">
        <v>2</v>
      </c>
      <c r="D113" s="7">
        <v>1</v>
      </c>
      <c r="E113" s="6" t="s">
        <v>270</v>
      </c>
      <c r="F113" s="6" t="s">
        <v>271</v>
      </c>
    </row>
    <row r="114" spans="1:6" ht="26.4" x14ac:dyDescent="0.3">
      <c r="A114" s="2" t="s">
        <v>266</v>
      </c>
      <c r="B114" s="3" t="s">
        <v>267</v>
      </c>
      <c r="C114" s="2">
        <v>3</v>
      </c>
      <c r="D114" s="4">
        <v>0</v>
      </c>
      <c r="E114" s="3" t="s">
        <v>272</v>
      </c>
      <c r="F114" s="3" t="s">
        <v>131</v>
      </c>
    </row>
    <row r="115" spans="1:6" ht="26.4" x14ac:dyDescent="0.3">
      <c r="A115" s="5" t="s">
        <v>266</v>
      </c>
      <c r="B115" s="6" t="s">
        <v>267</v>
      </c>
      <c r="C115" s="5">
        <v>4</v>
      </c>
      <c r="D115" s="4">
        <v>0</v>
      </c>
      <c r="E115" s="6" t="s">
        <v>273</v>
      </c>
      <c r="F115" s="6" t="s">
        <v>131</v>
      </c>
    </row>
    <row r="116" spans="1:6" ht="26.4" x14ac:dyDescent="0.3">
      <c r="A116" s="2" t="s">
        <v>266</v>
      </c>
      <c r="B116" s="3" t="s">
        <v>267</v>
      </c>
      <c r="C116" s="2">
        <v>5</v>
      </c>
      <c r="D116" s="4">
        <v>0</v>
      </c>
      <c r="E116" s="3" t="s">
        <v>274</v>
      </c>
      <c r="F116" s="3" t="s">
        <v>275</v>
      </c>
    </row>
    <row r="117" spans="1:6" ht="26.4" x14ac:dyDescent="0.3">
      <c r="A117" s="5" t="s">
        <v>276</v>
      </c>
      <c r="B117" s="6" t="s">
        <v>277</v>
      </c>
      <c r="C117" s="5">
        <v>1</v>
      </c>
      <c r="D117" s="8">
        <v>2</v>
      </c>
      <c r="E117" s="6" t="s">
        <v>278</v>
      </c>
      <c r="F117" s="6" t="s">
        <v>279</v>
      </c>
    </row>
    <row r="118" spans="1:6" ht="26.4" x14ac:dyDescent="0.3">
      <c r="A118" s="2" t="s">
        <v>276</v>
      </c>
      <c r="B118" s="3" t="s">
        <v>277</v>
      </c>
      <c r="C118" s="2">
        <v>2</v>
      </c>
      <c r="D118" s="7">
        <v>1</v>
      </c>
      <c r="E118" s="3" t="s">
        <v>280</v>
      </c>
      <c r="F118" s="3" t="s">
        <v>281</v>
      </c>
    </row>
    <row r="119" spans="1:6" ht="26.4" x14ac:dyDescent="0.3">
      <c r="A119" s="5" t="s">
        <v>276</v>
      </c>
      <c r="B119" s="6" t="s">
        <v>277</v>
      </c>
      <c r="C119" s="5">
        <v>3</v>
      </c>
      <c r="D119" s="8">
        <v>2</v>
      </c>
      <c r="E119" s="6" t="s">
        <v>282</v>
      </c>
      <c r="F119" s="6" t="s">
        <v>283</v>
      </c>
    </row>
    <row r="120" spans="1:6" ht="26.4" x14ac:dyDescent="0.3">
      <c r="A120" s="2" t="s">
        <v>276</v>
      </c>
      <c r="B120" s="3" t="s">
        <v>277</v>
      </c>
      <c r="C120" s="2">
        <v>4</v>
      </c>
      <c r="D120" s="8">
        <v>2</v>
      </c>
      <c r="E120" s="3" t="s">
        <v>284</v>
      </c>
      <c r="F120" s="3" t="s">
        <v>285</v>
      </c>
    </row>
    <row r="121" spans="1:6" ht="26.4" x14ac:dyDescent="0.3">
      <c r="A121" s="5" t="s">
        <v>276</v>
      </c>
      <c r="B121" s="6" t="s">
        <v>277</v>
      </c>
      <c r="C121" s="5">
        <v>5</v>
      </c>
      <c r="D121" s="7">
        <v>1</v>
      </c>
      <c r="E121" s="6" t="s">
        <v>286</v>
      </c>
      <c r="F121" s="6" t="s">
        <v>287</v>
      </c>
    </row>
    <row r="122" spans="1:6" ht="26.4" x14ac:dyDescent="0.3">
      <c r="A122" s="2" t="s">
        <v>288</v>
      </c>
      <c r="B122" s="3" t="s">
        <v>289</v>
      </c>
      <c r="C122" s="2">
        <v>1</v>
      </c>
      <c r="D122" s="8">
        <v>2</v>
      </c>
      <c r="E122" s="3" t="s">
        <v>290</v>
      </c>
      <c r="F122" s="3" t="s">
        <v>291</v>
      </c>
    </row>
    <row r="123" spans="1:6" ht="26.4" x14ac:dyDescent="0.3">
      <c r="A123" s="5" t="s">
        <v>288</v>
      </c>
      <c r="B123" s="6" t="s">
        <v>289</v>
      </c>
      <c r="C123" s="5">
        <v>2</v>
      </c>
      <c r="D123" s="7">
        <v>1</v>
      </c>
      <c r="E123" s="6" t="s">
        <v>292</v>
      </c>
      <c r="F123" s="6" t="s">
        <v>293</v>
      </c>
    </row>
    <row r="124" spans="1:6" ht="26.4" x14ac:dyDescent="0.3">
      <c r="A124" s="2" t="s">
        <v>288</v>
      </c>
      <c r="B124" s="3" t="s">
        <v>289</v>
      </c>
      <c r="C124" s="2">
        <v>3</v>
      </c>
      <c r="D124" s="7">
        <v>1</v>
      </c>
      <c r="E124" s="3" t="s">
        <v>294</v>
      </c>
      <c r="F124" s="3" t="s">
        <v>295</v>
      </c>
    </row>
    <row r="125" spans="1:6" ht="26.4" x14ac:dyDescent="0.3">
      <c r="A125" s="5" t="s">
        <v>288</v>
      </c>
      <c r="B125" s="6" t="s">
        <v>289</v>
      </c>
      <c r="C125" s="5">
        <v>4</v>
      </c>
      <c r="D125" s="7">
        <v>1</v>
      </c>
      <c r="E125" s="6" t="s">
        <v>296</v>
      </c>
      <c r="F125" s="6" t="s">
        <v>297</v>
      </c>
    </row>
    <row r="126" spans="1:6" ht="26.4" x14ac:dyDescent="0.3">
      <c r="A126" s="2" t="s">
        <v>288</v>
      </c>
      <c r="B126" s="3" t="s">
        <v>289</v>
      </c>
      <c r="C126" s="2">
        <v>5</v>
      </c>
      <c r="D126" s="7">
        <v>1</v>
      </c>
      <c r="E126" s="3" t="s">
        <v>298</v>
      </c>
      <c r="F126" s="3" t="s">
        <v>299</v>
      </c>
    </row>
    <row r="127" spans="1:6" ht="26.4" x14ac:dyDescent="0.3">
      <c r="A127" s="5" t="s">
        <v>300</v>
      </c>
      <c r="B127" s="6" t="s">
        <v>301</v>
      </c>
      <c r="C127" s="5">
        <v>1</v>
      </c>
      <c r="D127" s="7">
        <v>1</v>
      </c>
      <c r="E127" s="6" t="s">
        <v>302</v>
      </c>
      <c r="F127" s="6" t="s">
        <v>303</v>
      </c>
    </row>
    <row r="128" spans="1:6" ht="26.4" x14ac:dyDescent="0.3">
      <c r="A128" s="2" t="s">
        <v>300</v>
      </c>
      <c r="B128" s="3" t="s">
        <v>301</v>
      </c>
      <c r="C128" s="2">
        <v>2</v>
      </c>
      <c r="D128" s="4">
        <v>0</v>
      </c>
      <c r="E128" s="3" t="s">
        <v>304</v>
      </c>
      <c r="F128" s="3" t="s">
        <v>305</v>
      </c>
    </row>
    <row r="129" spans="1:6" ht="26.4" x14ac:dyDescent="0.3">
      <c r="A129" s="5" t="s">
        <v>300</v>
      </c>
      <c r="B129" s="6" t="s">
        <v>301</v>
      </c>
      <c r="C129" s="5">
        <v>3</v>
      </c>
      <c r="D129" s="8">
        <v>2</v>
      </c>
      <c r="E129" s="6" t="s">
        <v>306</v>
      </c>
      <c r="F129" s="6" t="s">
        <v>307</v>
      </c>
    </row>
    <row r="130" spans="1:6" ht="26.4" x14ac:dyDescent="0.3">
      <c r="A130" s="2" t="s">
        <v>300</v>
      </c>
      <c r="B130" s="3" t="s">
        <v>301</v>
      </c>
      <c r="C130" s="2">
        <v>4</v>
      </c>
      <c r="D130" s="7">
        <v>1</v>
      </c>
      <c r="E130" s="3" t="s">
        <v>308</v>
      </c>
      <c r="F130" s="3" t="s">
        <v>309</v>
      </c>
    </row>
    <row r="131" spans="1:6" ht="26.4" x14ac:dyDescent="0.3">
      <c r="A131" s="5" t="s">
        <v>300</v>
      </c>
      <c r="B131" s="6" t="s">
        <v>301</v>
      </c>
      <c r="C131" s="5">
        <v>5</v>
      </c>
      <c r="D131" s="7">
        <v>1</v>
      </c>
      <c r="E131" s="6" t="s">
        <v>310</v>
      </c>
      <c r="F131" s="6" t="s">
        <v>311</v>
      </c>
    </row>
    <row r="132" spans="1:6" ht="26.4" x14ac:dyDescent="0.3">
      <c r="A132" s="2" t="s">
        <v>312</v>
      </c>
      <c r="B132" s="3" t="s">
        <v>313</v>
      </c>
      <c r="C132" s="2">
        <v>1</v>
      </c>
      <c r="D132" s="8">
        <v>2</v>
      </c>
      <c r="E132" s="3" t="s">
        <v>314</v>
      </c>
      <c r="F132" s="3" t="s">
        <v>315</v>
      </c>
    </row>
    <row r="133" spans="1:6" ht="26.4" x14ac:dyDescent="0.3">
      <c r="A133" s="5" t="s">
        <v>312</v>
      </c>
      <c r="B133" s="6" t="s">
        <v>313</v>
      </c>
      <c r="C133" s="5">
        <v>2</v>
      </c>
      <c r="D133" s="7">
        <v>1</v>
      </c>
      <c r="E133" s="6" t="s">
        <v>316</v>
      </c>
      <c r="F133" s="6" t="s">
        <v>317</v>
      </c>
    </row>
    <row r="134" spans="1:6" ht="26.4" x14ac:dyDescent="0.3">
      <c r="A134" s="2" t="s">
        <v>312</v>
      </c>
      <c r="B134" s="3" t="s">
        <v>313</v>
      </c>
      <c r="C134" s="2">
        <v>3</v>
      </c>
      <c r="D134" s="7">
        <v>1</v>
      </c>
      <c r="E134" s="3" t="s">
        <v>318</v>
      </c>
      <c r="F134" s="3" t="s">
        <v>319</v>
      </c>
    </row>
    <row r="135" spans="1:6" ht="26.4" x14ac:dyDescent="0.3">
      <c r="A135" s="5" t="s">
        <v>312</v>
      </c>
      <c r="B135" s="6" t="s">
        <v>313</v>
      </c>
      <c r="C135" s="5">
        <v>4</v>
      </c>
      <c r="D135" s="7">
        <v>1</v>
      </c>
      <c r="E135" s="6" t="s">
        <v>320</v>
      </c>
      <c r="F135" s="6" t="s">
        <v>321</v>
      </c>
    </row>
    <row r="136" spans="1:6" ht="26.4" x14ac:dyDescent="0.3">
      <c r="A136" s="2" t="s">
        <v>312</v>
      </c>
      <c r="B136" s="3" t="s">
        <v>313</v>
      </c>
      <c r="C136" s="2">
        <v>5</v>
      </c>
      <c r="D136" s="7">
        <v>1</v>
      </c>
      <c r="E136" s="3" t="s">
        <v>322</v>
      </c>
      <c r="F136" s="3" t="s">
        <v>323</v>
      </c>
    </row>
    <row r="137" spans="1:6" ht="26.4" x14ac:dyDescent="0.3">
      <c r="A137" s="5" t="s">
        <v>324</v>
      </c>
      <c r="B137" s="6" t="s">
        <v>325</v>
      </c>
      <c r="C137" s="5">
        <v>1</v>
      </c>
      <c r="D137" s="8">
        <v>2</v>
      </c>
      <c r="E137" s="6" t="s">
        <v>326</v>
      </c>
      <c r="F137" s="6" t="s">
        <v>327</v>
      </c>
    </row>
    <row r="138" spans="1:6" ht="26.4" x14ac:dyDescent="0.3">
      <c r="A138" s="2" t="s">
        <v>324</v>
      </c>
      <c r="B138" s="3" t="s">
        <v>325</v>
      </c>
      <c r="C138" s="2">
        <v>2</v>
      </c>
      <c r="D138" s="4">
        <v>0</v>
      </c>
      <c r="E138" s="3" t="s">
        <v>328</v>
      </c>
      <c r="F138" s="3" t="s">
        <v>131</v>
      </c>
    </row>
    <row r="139" spans="1:6" ht="26.4" x14ac:dyDescent="0.3">
      <c r="A139" s="5" t="s">
        <v>324</v>
      </c>
      <c r="B139" s="6" t="s">
        <v>325</v>
      </c>
      <c r="C139" s="5">
        <v>3</v>
      </c>
      <c r="D139" s="7">
        <v>1</v>
      </c>
      <c r="E139" s="6" t="s">
        <v>329</v>
      </c>
      <c r="F139" s="6" t="s">
        <v>330</v>
      </c>
    </row>
    <row r="140" spans="1:6" ht="26.4" x14ac:dyDescent="0.3">
      <c r="A140" s="2" t="s">
        <v>324</v>
      </c>
      <c r="B140" s="3" t="s">
        <v>325</v>
      </c>
      <c r="C140" s="2">
        <v>4</v>
      </c>
      <c r="D140" s="7">
        <v>1</v>
      </c>
      <c r="E140" s="3" t="s">
        <v>331</v>
      </c>
      <c r="F140" s="3" t="s">
        <v>332</v>
      </c>
    </row>
    <row r="141" spans="1:6" ht="26.4" x14ac:dyDescent="0.3">
      <c r="A141" s="5" t="s">
        <v>324</v>
      </c>
      <c r="B141" s="6" t="s">
        <v>325</v>
      </c>
      <c r="C141" s="5">
        <v>5</v>
      </c>
      <c r="D141" s="7">
        <v>1</v>
      </c>
      <c r="E141" s="6" t="s">
        <v>333</v>
      </c>
      <c r="F141" s="6" t="s">
        <v>334</v>
      </c>
    </row>
    <row r="142" spans="1:6" ht="26.4" x14ac:dyDescent="0.3">
      <c r="A142" s="2" t="s">
        <v>335</v>
      </c>
      <c r="B142" s="3" t="s">
        <v>336</v>
      </c>
      <c r="C142" s="2">
        <v>1</v>
      </c>
      <c r="D142" s="8">
        <v>2</v>
      </c>
      <c r="E142" s="3" t="s">
        <v>337</v>
      </c>
      <c r="F142" s="3" t="s">
        <v>338</v>
      </c>
    </row>
    <row r="143" spans="1:6" ht="26.4" x14ac:dyDescent="0.3">
      <c r="A143" s="5" t="s">
        <v>335</v>
      </c>
      <c r="B143" s="6" t="s">
        <v>336</v>
      </c>
      <c r="C143" s="5">
        <v>2</v>
      </c>
      <c r="D143" s="4">
        <v>0</v>
      </c>
      <c r="E143" s="6" t="s">
        <v>339</v>
      </c>
      <c r="F143" s="6" t="s">
        <v>259</v>
      </c>
    </row>
    <row r="144" spans="1:6" ht="26.4" x14ac:dyDescent="0.3">
      <c r="A144" s="2" t="s">
        <v>335</v>
      </c>
      <c r="B144" s="3" t="s">
        <v>336</v>
      </c>
      <c r="C144" s="2">
        <v>3</v>
      </c>
      <c r="D144" s="8">
        <v>2</v>
      </c>
      <c r="E144" s="3" t="s">
        <v>340</v>
      </c>
      <c r="F144" s="3" t="s">
        <v>341</v>
      </c>
    </row>
    <row r="145" spans="1:6" ht="26.4" x14ac:dyDescent="0.3">
      <c r="A145" s="5" t="s">
        <v>335</v>
      </c>
      <c r="B145" s="6" t="s">
        <v>336</v>
      </c>
      <c r="C145" s="5">
        <v>4</v>
      </c>
      <c r="D145" s="7">
        <v>1</v>
      </c>
      <c r="E145" s="6" t="s">
        <v>342</v>
      </c>
      <c r="F145" s="6" t="s">
        <v>343</v>
      </c>
    </row>
    <row r="146" spans="1:6" ht="26.4" x14ac:dyDescent="0.3">
      <c r="A146" s="2" t="s">
        <v>335</v>
      </c>
      <c r="B146" s="3" t="s">
        <v>336</v>
      </c>
      <c r="C146" s="2">
        <v>5</v>
      </c>
      <c r="D146" s="7">
        <v>1</v>
      </c>
      <c r="E146" s="3" t="s">
        <v>344</v>
      </c>
      <c r="F146" s="3" t="s">
        <v>345</v>
      </c>
    </row>
    <row r="147" spans="1:6" ht="26.4" x14ac:dyDescent="0.3">
      <c r="A147" s="5" t="s">
        <v>346</v>
      </c>
      <c r="B147" s="6" t="s">
        <v>347</v>
      </c>
      <c r="C147" s="5">
        <v>1</v>
      </c>
      <c r="D147" s="8">
        <v>2</v>
      </c>
      <c r="E147" s="6" t="s">
        <v>348</v>
      </c>
      <c r="F147" s="6" t="s">
        <v>349</v>
      </c>
    </row>
    <row r="148" spans="1:6" ht="26.4" x14ac:dyDescent="0.3">
      <c r="A148" s="2" t="s">
        <v>346</v>
      </c>
      <c r="B148" s="3" t="s">
        <v>347</v>
      </c>
      <c r="C148" s="2">
        <v>2</v>
      </c>
      <c r="D148" s="4">
        <v>0</v>
      </c>
      <c r="E148" s="3" t="s">
        <v>350</v>
      </c>
      <c r="F148" s="3" t="s">
        <v>259</v>
      </c>
    </row>
    <row r="149" spans="1:6" ht="26.4" x14ac:dyDescent="0.3">
      <c r="A149" s="5" t="s">
        <v>346</v>
      </c>
      <c r="B149" s="6" t="s">
        <v>347</v>
      </c>
      <c r="C149" s="5">
        <v>3</v>
      </c>
      <c r="D149" s="7">
        <v>1</v>
      </c>
      <c r="E149" s="6" t="s">
        <v>351</v>
      </c>
      <c r="F149" s="6" t="s">
        <v>352</v>
      </c>
    </row>
    <row r="150" spans="1:6" ht="26.4" x14ac:dyDescent="0.3">
      <c r="A150" s="2" t="s">
        <v>346</v>
      </c>
      <c r="B150" s="3" t="s">
        <v>347</v>
      </c>
      <c r="C150" s="2">
        <v>4</v>
      </c>
      <c r="D150" s="8">
        <v>2</v>
      </c>
      <c r="E150" s="3" t="s">
        <v>353</v>
      </c>
      <c r="F150" s="3" t="s">
        <v>354</v>
      </c>
    </row>
    <row r="151" spans="1:6" ht="26.4" x14ac:dyDescent="0.3">
      <c r="A151" s="5" t="s">
        <v>346</v>
      </c>
      <c r="B151" s="6" t="s">
        <v>347</v>
      </c>
      <c r="C151" s="5">
        <v>5</v>
      </c>
      <c r="D151" s="4">
        <v>0</v>
      </c>
      <c r="E151" s="6" t="s">
        <v>355</v>
      </c>
      <c r="F151" s="6" t="s">
        <v>356</v>
      </c>
    </row>
  </sheetData>
  <autoFilter ref="A1:F151" xr:uid="{00000000-0009-0000-0000-000000000000}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zoomScaleNormal="100" workbookViewId="0">
      <pane ySplit="1" topLeftCell="A2" activePane="bottomLeft" state="frozen"/>
      <selection pane="bottomLeft" activeCell="O19" sqref="O19"/>
    </sheetView>
  </sheetViews>
  <sheetFormatPr defaultColWidth="8.6640625" defaultRowHeight="14.4" x14ac:dyDescent="0.3"/>
  <cols>
    <col min="1" max="1" width="8" customWidth="1"/>
    <col min="2" max="2" width="42" customWidth="1"/>
    <col min="3" max="3" width="17.21875" hidden="1" customWidth="1"/>
    <col min="4" max="4" width="3.44140625" customWidth="1"/>
    <col min="5" max="8" width="3.5546875" customWidth="1"/>
    <col min="9" max="9" width="13.6640625" customWidth="1"/>
    <col min="10" max="10" width="11.6640625" customWidth="1"/>
    <col min="11" max="11" width="17.33203125" bestFit="1" customWidth="1"/>
    <col min="12" max="12" width="11.6640625" customWidth="1"/>
  </cols>
  <sheetData>
    <row r="1" spans="1:12" ht="36" customHeight="1" x14ac:dyDescent="0.3">
      <c r="A1" s="1" t="s">
        <v>0</v>
      </c>
      <c r="B1" s="1" t="s">
        <v>1</v>
      </c>
      <c r="C1" s="1" t="s">
        <v>357</v>
      </c>
      <c r="D1" s="1" t="s">
        <v>358</v>
      </c>
      <c r="E1" s="1" t="s">
        <v>359</v>
      </c>
      <c r="F1" s="1" t="s">
        <v>360</v>
      </c>
      <c r="G1" s="1" t="s">
        <v>361</v>
      </c>
      <c r="H1" s="1" t="s">
        <v>362</v>
      </c>
      <c r="I1" s="1" t="s">
        <v>436</v>
      </c>
      <c r="J1" s="1" t="s">
        <v>363</v>
      </c>
      <c r="K1" s="1" t="s">
        <v>437</v>
      </c>
      <c r="L1" s="1" t="s">
        <v>365</v>
      </c>
    </row>
    <row r="2" spans="1:12" ht="26.4" x14ac:dyDescent="0.3">
      <c r="A2" s="2" t="s">
        <v>6</v>
      </c>
      <c r="B2" s="3" t="s">
        <v>7</v>
      </c>
      <c r="C2" s="2" t="s">
        <v>367</v>
      </c>
      <c r="D2" s="2">
        <v>0</v>
      </c>
      <c r="E2" s="2">
        <v>0</v>
      </c>
      <c r="F2" s="2">
        <v>1</v>
      </c>
      <c r="G2" s="2">
        <v>0</v>
      </c>
      <c r="H2" s="2">
        <v>0</v>
      </c>
      <c r="I2" s="2" t="s">
        <v>368</v>
      </c>
      <c r="J2" s="9">
        <f t="shared" ref="J2:J31" si="0">(IF(D2&gt;0,1,0)+IF(E2&gt;0,1,0)+IF(F2&gt;0,1,0))/3</f>
        <v>0.33333333333333331</v>
      </c>
      <c r="K2" s="2" t="s">
        <v>369</v>
      </c>
      <c r="L2" s="9">
        <f t="shared" ref="L2:L31" si="1">(IF(D2&gt;0,1,0)+IF(E2&gt;0,1,0)+IF(F2&gt;0,1,0)+IF(G2&gt;0,1,0)+IF(H2&gt;0,1,0))/5</f>
        <v>0.2</v>
      </c>
    </row>
    <row r="3" spans="1:12" ht="26.4" x14ac:dyDescent="0.3">
      <c r="A3" s="5" t="s">
        <v>18</v>
      </c>
      <c r="B3" s="6" t="s">
        <v>19</v>
      </c>
      <c r="C3" s="5" t="s">
        <v>370</v>
      </c>
      <c r="D3" s="5">
        <v>1</v>
      </c>
      <c r="E3" s="5">
        <v>0</v>
      </c>
      <c r="F3" s="5">
        <v>0</v>
      </c>
      <c r="G3" s="5">
        <v>0</v>
      </c>
      <c r="H3" s="5">
        <v>2</v>
      </c>
      <c r="I3" s="5" t="s">
        <v>371</v>
      </c>
      <c r="J3" s="10">
        <f t="shared" si="0"/>
        <v>0.33333333333333331</v>
      </c>
      <c r="K3" s="5" t="s">
        <v>372</v>
      </c>
      <c r="L3" s="10">
        <f t="shared" si="1"/>
        <v>0.4</v>
      </c>
    </row>
    <row r="4" spans="1:12" ht="26.4" x14ac:dyDescent="0.3">
      <c r="A4" s="2" t="s">
        <v>30</v>
      </c>
      <c r="B4" s="3" t="s">
        <v>31</v>
      </c>
      <c r="C4" s="2" t="s">
        <v>373</v>
      </c>
      <c r="D4" s="2">
        <v>0</v>
      </c>
      <c r="E4" s="2">
        <v>1</v>
      </c>
      <c r="F4" s="2">
        <v>0</v>
      </c>
      <c r="G4" s="2">
        <v>0</v>
      </c>
      <c r="H4" s="2">
        <v>0</v>
      </c>
      <c r="I4" s="2" t="s">
        <v>374</v>
      </c>
      <c r="J4" s="9">
        <f t="shared" si="0"/>
        <v>0.33333333333333331</v>
      </c>
      <c r="K4" s="2" t="s">
        <v>375</v>
      </c>
      <c r="L4" s="9">
        <f t="shared" si="1"/>
        <v>0.2</v>
      </c>
    </row>
    <row r="5" spans="1:12" ht="26.4" x14ac:dyDescent="0.3">
      <c r="A5" s="5" t="s">
        <v>42</v>
      </c>
      <c r="B5" s="6" t="s">
        <v>43</v>
      </c>
      <c r="C5" s="5" t="s">
        <v>376</v>
      </c>
      <c r="D5" s="5">
        <v>2</v>
      </c>
      <c r="E5" s="5">
        <v>0</v>
      </c>
      <c r="F5" s="5">
        <v>1</v>
      </c>
      <c r="G5" s="5">
        <v>0</v>
      </c>
      <c r="H5" s="5">
        <v>0</v>
      </c>
      <c r="I5" s="5" t="s">
        <v>377</v>
      </c>
      <c r="J5" s="10">
        <f t="shared" si="0"/>
        <v>0.66666666666666663</v>
      </c>
      <c r="K5" s="5" t="s">
        <v>378</v>
      </c>
      <c r="L5" s="10">
        <f t="shared" si="1"/>
        <v>0.4</v>
      </c>
    </row>
    <row r="6" spans="1:12" x14ac:dyDescent="0.3">
      <c r="A6" s="2" t="s">
        <v>54</v>
      </c>
      <c r="B6" s="3" t="s">
        <v>55</v>
      </c>
      <c r="C6" s="2" t="s">
        <v>379</v>
      </c>
      <c r="D6" s="2">
        <v>1</v>
      </c>
      <c r="E6" s="2">
        <v>1</v>
      </c>
      <c r="F6" s="2">
        <v>0</v>
      </c>
      <c r="G6" s="2">
        <v>0</v>
      </c>
      <c r="H6" s="2">
        <v>0</v>
      </c>
      <c r="I6" s="2" t="s">
        <v>380</v>
      </c>
      <c r="J6" s="9">
        <f t="shared" si="0"/>
        <v>0.66666666666666663</v>
      </c>
      <c r="K6" s="2" t="s">
        <v>381</v>
      </c>
      <c r="L6" s="9">
        <f t="shared" si="1"/>
        <v>0.4</v>
      </c>
    </row>
    <row r="7" spans="1:12" ht="26.4" x14ac:dyDescent="0.3">
      <c r="A7" s="5" t="s">
        <v>66</v>
      </c>
      <c r="B7" s="6" t="s">
        <v>67</v>
      </c>
      <c r="C7" s="5" t="s">
        <v>379</v>
      </c>
      <c r="D7" s="5">
        <v>1</v>
      </c>
      <c r="E7" s="5">
        <v>1</v>
      </c>
      <c r="F7" s="5">
        <v>0</v>
      </c>
      <c r="G7" s="5">
        <v>0</v>
      </c>
      <c r="H7" s="5">
        <v>0</v>
      </c>
      <c r="I7" s="5" t="s">
        <v>380</v>
      </c>
      <c r="J7" s="10">
        <f t="shared" si="0"/>
        <v>0.66666666666666663</v>
      </c>
      <c r="K7" s="5" t="s">
        <v>381</v>
      </c>
      <c r="L7" s="10">
        <f t="shared" si="1"/>
        <v>0.4</v>
      </c>
    </row>
    <row r="8" spans="1:12" ht="26.4" x14ac:dyDescent="0.3">
      <c r="A8" s="2" t="s">
        <v>78</v>
      </c>
      <c r="B8" s="3" t="s">
        <v>79</v>
      </c>
      <c r="C8" s="2" t="s">
        <v>382</v>
      </c>
      <c r="D8" s="2">
        <v>0</v>
      </c>
      <c r="E8" s="2">
        <v>0</v>
      </c>
      <c r="F8" s="2">
        <v>0</v>
      </c>
      <c r="G8" s="2">
        <v>1</v>
      </c>
      <c r="H8" s="2">
        <v>0</v>
      </c>
      <c r="I8" s="2" t="s">
        <v>383</v>
      </c>
      <c r="J8" s="9">
        <f t="shared" si="0"/>
        <v>0</v>
      </c>
      <c r="K8" s="2" t="s">
        <v>384</v>
      </c>
      <c r="L8" s="9">
        <f t="shared" si="1"/>
        <v>0.2</v>
      </c>
    </row>
    <row r="9" spans="1:12" ht="26.4" x14ac:dyDescent="0.3">
      <c r="A9" s="5" t="s">
        <v>90</v>
      </c>
      <c r="B9" s="6" t="s">
        <v>91</v>
      </c>
      <c r="C9" s="5" t="s">
        <v>385</v>
      </c>
      <c r="D9" s="5">
        <v>2</v>
      </c>
      <c r="E9" s="5">
        <v>0</v>
      </c>
      <c r="F9" s="5">
        <v>0</v>
      </c>
      <c r="G9" s="5">
        <v>0</v>
      </c>
      <c r="H9" s="5">
        <v>0</v>
      </c>
      <c r="I9" s="5" t="s">
        <v>371</v>
      </c>
      <c r="J9" s="10">
        <f t="shared" si="0"/>
        <v>0.33333333333333331</v>
      </c>
      <c r="K9" s="5" t="s">
        <v>386</v>
      </c>
      <c r="L9" s="10">
        <f t="shared" si="1"/>
        <v>0.2</v>
      </c>
    </row>
    <row r="10" spans="1:12" x14ac:dyDescent="0.3">
      <c r="A10" s="2" t="s">
        <v>102</v>
      </c>
      <c r="B10" s="3" t="s">
        <v>103</v>
      </c>
      <c r="C10" s="2" t="s">
        <v>387</v>
      </c>
      <c r="D10" s="2">
        <v>2</v>
      </c>
      <c r="E10" s="2">
        <v>1</v>
      </c>
      <c r="F10" s="2">
        <v>0</v>
      </c>
      <c r="G10" s="2">
        <v>0</v>
      </c>
      <c r="H10" s="2">
        <v>1</v>
      </c>
      <c r="I10" s="2" t="s">
        <v>380</v>
      </c>
      <c r="J10" s="9">
        <f t="shared" si="0"/>
        <v>0.66666666666666663</v>
      </c>
      <c r="K10" s="2" t="s">
        <v>388</v>
      </c>
      <c r="L10" s="9">
        <f t="shared" si="1"/>
        <v>0.6</v>
      </c>
    </row>
    <row r="11" spans="1:12" x14ac:dyDescent="0.3">
      <c r="A11" s="5" t="s">
        <v>114</v>
      </c>
      <c r="B11" s="6" t="s">
        <v>115</v>
      </c>
      <c r="C11" s="5" t="s">
        <v>389</v>
      </c>
      <c r="D11" s="5">
        <v>1</v>
      </c>
      <c r="E11" s="5">
        <v>0</v>
      </c>
      <c r="F11" s="5">
        <v>0</v>
      </c>
      <c r="G11" s="5">
        <v>0</v>
      </c>
      <c r="H11" s="5">
        <v>0</v>
      </c>
      <c r="I11" s="5" t="s">
        <v>371</v>
      </c>
      <c r="J11" s="10">
        <f t="shared" si="0"/>
        <v>0.33333333333333331</v>
      </c>
      <c r="K11" s="5" t="s">
        <v>386</v>
      </c>
      <c r="L11" s="10">
        <f t="shared" si="1"/>
        <v>0.2</v>
      </c>
    </row>
    <row r="12" spans="1:12" x14ac:dyDescent="0.3">
      <c r="A12" s="2" t="s">
        <v>126</v>
      </c>
      <c r="B12" s="3" t="s">
        <v>127</v>
      </c>
      <c r="C12" s="2" t="s">
        <v>389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 t="s">
        <v>371</v>
      </c>
      <c r="J12" s="9">
        <f t="shared" si="0"/>
        <v>0.33333333333333331</v>
      </c>
      <c r="K12" s="2" t="s">
        <v>386</v>
      </c>
      <c r="L12" s="9">
        <f t="shared" si="1"/>
        <v>0.2</v>
      </c>
    </row>
    <row r="13" spans="1:12" x14ac:dyDescent="0.3">
      <c r="A13" s="5" t="s">
        <v>138</v>
      </c>
      <c r="B13" s="6" t="s">
        <v>139</v>
      </c>
      <c r="C13" s="5" t="s">
        <v>390</v>
      </c>
      <c r="D13" s="5">
        <v>1</v>
      </c>
      <c r="E13" s="5">
        <v>2</v>
      </c>
      <c r="F13" s="5">
        <v>0</v>
      </c>
      <c r="G13" s="5">
        <v>1</v>
      </c>
      <c r="H13" s="5">
        <v>0</v>
      </c>
      <c r="I13" s="5" t="s">
        <v>380</v>
      </c>
      <c r="J13" s="10">
        <f t="shared" si="0"/>
        <v>0.66666666666666663</v>
      </c>
      <c r="K13" s="5" t="s">
        <v>391</v>
      </c>
      <c r="L13" s="10">
        <f t="shared" si="1"/>
        <v>0.6</v>
      </c>
    </row>
    <row r="14" spans="1:12" x14ac:dyDescent="0.3">
      <c r="A14" s="2" t="s">
        <v>150</v>
      </c>
      <c r="B14" s="3" t="s">
        <v>151</v>
      </c>
      <c r="C14" s="2" t="s">
        <v>392</v>
      </c>
      <c r="D14" s="2">
        <v>2</v>
      </c>
      <c r="E14" s="2">
        <v>0</v>
      </c>
      <c r="F14" s="2">
        <v>0</v>
      </c>
      <c r="G14" s="2">
        <v>1</v>
      </c>
      <c r="H14" s="2">
        <v>0</v>
      </c>
      <c r="I14" s="2" t="s">
        <v>371</v>
      </c>
      <c r="J14" s="9">
        <f t="shared" si="0"/>
        <v>0.33333333333333331</v>
      </c>
      <c r="K14" s="2" t="s">
        <v>393</v>
      </c>
      <c r="L14" s="9">
        <f t="shared" si="1"/>
        <v>0.4</v>
      </c>
    </row>
    <row r="15" spans="1:12" x14ac:dyDescent="0.3">
      <c r="A15" s="5" t="s">
        <v>161</v>
      </c>
      <c r="B15" s="6" t="s">
        <v>162</v>
      </c>
      <c r="C15" s="5" t="s">
        <v>394</v>
      </c>
      <c r="D15" s="5">
        <v>2</v>
      </c>
      <c r="E15" s="5">
        <v>2</v>
      </c>
      <c r="F15" s="5">
        <v>0</v>
      </c>
      <c r="G15" s="5">
        <v>0</v>
      </c>
      <c r="H15" s="5">
        <v>1</v>
      </c>
      <c r="I15" s="5" t="s">
        <v>380</v>
      </c>
      <c r="J15" s="10">
        <f t="shared" si="0"/>
        <v>0.66666666666666663</v>
      </c>
      <c r="K15" s="5" t="s">
        <v>388</v>
      </c>
      <c r="L15" s="10">
        <f t="shared" si="1"/>
        <v>0.6</v>
      </c>
    </row>
    <row r="16" spans="1:12" x14ac:dyDescent="0.3">
      <c r="A16" s="2" t="s">
        <v>173</v>
      </c>
      <c r="B16" s="3" t="s">
        <v>174</v>
      </c>
      <c r="C16" s="2" t="s">
        <v>395</v>
      </c>
      <c r="D16" s="2">
        <v>1</v>
      </c>
      <c r="E16" s="2">
        <v>2</v>
      </c>
      <c r="F16" s="2">
        <v>2</v>
      </c>
      <c r="G16" s="2">
        <v>0</v>
      </c>
      <c r="H16" s="2">
        <v>0</v>
      </c>
      <c r="I16" s="2" t="s">
        <v>396</v>
      </c>
      <c r="J16" s="9">
        <f t="shared" si="0"/>
        <v>1</v>
      </c>
      <c r="K16" s="2" t="s">
        <v>397</v>
      </c>
      <c r="L16" s="9">
        <f t="shared" si="1"/>
        <v>0.6</v>
      </c>
    </row>
    <row r="17" spans="1:12" x14ac:dyDescent="0.3">
      <c r="A17" s="5" t="s">
        <v>184</v>
      </c>
      <c r="B17" s="6" t="s">
        <v>185</v>
      </c>
      <c r="C17" s="5" t="s">
        <v>398</v>
      </c>
      <c r="D17" s="5">
        <v>2</v>
      </c>
      <c r="E17" s="5">
        <v>2</v>
      </c>
      <c r="F17" s="5">
        <v>1</v>
      </c>
      <c r="G17" s="5">
        <v>0</v>
      </c>
      <c r="H17" s="5">
        <v>1</v>
      </c>
      <c r="I17" s="5" t="s">
        <v>396</v>
      </c>
      <c r="J17" s="10">
        <f t="shared" si="0"/>
        <v>1</v>
      </c>
      <c r="K17" s="5" t="s">
        <v>399</v>
      </c>
      <c r="L17" s="10">
        <f t="shared" si="1"/>
        <v>0.8</v>
      </c>
    </row>
    <row r="18" spans="1:12" ht="26.4" x14ac:dyDescent="0.3">
      <c r="A18" s="2" t="s">
        <v>196</v>
      </c>
      <c r="B18" s="3" t="s">
        <v>197</v>
      </c>
      <c r="C18" s="2" t="s">
        <v>400</v>
      </c>
      <c r="D18" s="2">
        <v>1</v>
      </c>
      <c r="E18" s="2">
        <v>2</v>
      </c>
      <c r="F18" s="2">
        <v>1</v>
      </c>
      <c r="G18" s="2">
        <v>2</v>
      </c>
      <c r="H18" s="2">
        <v>1</v>
      </c>
      <c r="I18" s="2" t="s">
        <v>396</v>
      </c>
      <c r="J18" s="9">
        <f t="shared" si="0"/>
        <v>1</v>
      </c>
      <c r="K18" s="2" t="s">
        <v>401</v>
      </c>
      <c r="L18" s="9">
        <f t="shared" si="1"/>
        <v>1</v>
      </c>
    </row>
    <row r="19" spans="1:12" ht="26.4" x14ac:dyDescent="0.3">
      <c r="A19" s="5" t="s">
        <v>208</v>
      </c>
      <c r="B19" s="6" t="s">
        <v>209</v>
      </c>
      <c r="C19" s="5" t="s">
        <v>387</v>
      </c>
      <c r="D19" s="5">
        <v>2</v>
      </c>
      <c r="E19" s="5">
        <v>1</v>
      </c>
      <c r="F19" s="5">
        <v>0</v>
      </c>
      <c r="G19" s="5">
        <v>0</v>
      </c>
      <c r="H19" s="5">
        <v>1</v>
      </c>
      <c r="I19" s="5" t="s">
        <v>380</v>
      </c>
      <c r="J19" s="10">
        <f t="shared" si="0"/>
        <v>0.66666666666666663</v>
      </c>
      <c r="K19" s="5" t="s">
        <v>388</v>
      </c>
      <c r="L19" s="10">
        <f t="shared" si="1"/>
        <v>0.6</v>
      </c>
    </row>
    <row r="20" spans="1:12" ht="26.4" x14ac:dyDescent="0.3">
      <c r="A20" s="2" t="s">
        <v>220</v>
      </c>
      <c r="B20" s="3" t="s">
        <v>221</v>
      </c>
      <c r="C20" s="2" t="s">
        <v>402</v>
      </c>
      <c r="D20" s="2">
        <v>2</v>
      </c>
      <c r="E20" s="2">
        <v>2</v>
      </c>
      <c r="F20" s="2">
        <v>1</v>
      </c>
      <c r="G20" s="2">
        <v>1</v>
      </c>
      <c r="H20" s="2">
        <v>1</v>
      </c>
      <c r="I20" s="2" t="s">
        <v>396</v>
      </c>
      <c r="J20" s="9">
        <f t="shared" si="0"/>
        <v>1</v>
      </c>
      <c r="K20" s="2" t="s">
        <v>401</v>
      </c>
      <c r="L20" s="9">
        <f t="shared" si="1"/>
        <v>1</v>
      </c>
    </row>
    <row r="21" spans="1:12" ht="26.4" x14ac:dyDescent="0.3">
      <c r="A21" s="5" t="s">
        <v>232</v>
      </c>
      <c r="B21" s="6" t="s">
        <v>233</v>
      </c>
      <c r="C21" s="5" t="s">
        <v>403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 t="s">
        <v>377</v>
      </c>
      <c r="J21" s="10">
        <f t="shared" si="0"/>
        <v>0.66666666666666663</v>
      </c>
      <c r="K21" s="5" t="s">
        <v>378</v>
      </c>
      <c r="L21" s="10">
        <f t="shared" si="1"/>
        <v>0.4</v>
      </c>
    </row>
    <row r="22" spans="1:12" ht="26.4" x14ac:dyDescent="0.3">
      <c r="A22" s="2" t="s">
        <v>242</v>
      </c>
      <c r="B22" s="3" t="s">
        <v>243</v>
      </c>
      <c r="C22" s="2" t="s">
        <v>404</v>
      </c>
      <c r="D22" s="2">
        <v>2</v>
      </c>
      <c r="E22" s="2">
        <v>1</v>
      </c>
      <c r="F22" s="2">
        <v>0</v>
      </c>
      <c r="G22" s="2">
        <v>2</v>
      </c>
      <c r="H22" s="2">
        <v>1</v>
      </c>
      <c r="I22" s="2" t="s">
        <v>380</v>
      </c>
      <c r="J22" s="9">
        <f t="shared" si="0"/>
        <v>0.66666666666666663</v>
      </c>
      <c r="K22" s="2" t="s">
        <v>405</v>
      </c>
      <c r="L22" s="9">
        <f t="shared" si="1"/>
        <v>0.8</v>
      </c>
    </row>
    <row r="23" spans="1:12" ht="26.4" x14ac:dyDescent="0.3">
      <c r="A23" s="5" t="s">
        <v>254</v>
      </c>
      <c r="B23" s="6" t="s">
        <v>255</v>
      </c>
      <c r="C23" s="5" t="s">
        <v>376</v>
      </c>
      <c r="D23" s="5">
        <v>2</v>
      </c>
      <c r="E23" s="5">
        <v>0</v>
      </c>
      <c r="F23" s="5">
        <v>1</v>
      </c>
      <c r="G23" s="5">
        <v>0</v>
      </c>
      <c r="H23" s="5">
        <v>0</v>
      </c>
      <c r="I23" s="5" t="s">
        <v>377</v>
      </c>
      <c r="J23" s="10">
        <f t="shared" si="0"/>
        <v>0.66666666666666663</v>
      </c>
      <c r="K23" s="5" t="s">
        <v>378</v>
      </c>
      <c r="L23" s="10">
        <f t="shared" si="1"/>
        <v>0.4</v>
      </c>
    </row>
    <row r="24" spans="1:12" ht="26.4" x14ac:dyDescent="0.3">
      <c r="A24" s="2" t="s">
        <v>266</v>
      </c>
      <c r="B24" s="3" t="s">
        <v>267</v>
      </c>
      <c r="C24" s="2" t="s">
        <v>406</v>
      </c>
      <c r="D24" s="2">
        <v>2</v>
      </c>
      <c r="E24" s="2">
        <v>1</v>
      </c>
      <c r="F24" s="2">
        <v>0</v>
      </c>
      <c r="G24" s="2">
        <v>0</v>
      </c>
      <c r="H24" s="2">
        <v>0</v>
      </c>
      <c r="I24" s="2" t="s">
        <v>380</v>
      </c>
      <c r="J24" s="9">
        <f t="shared" si="0"/>
        <v>0.66666666666666663</v>
      </c>
      <c r="K24" s="2" t="s">
        <v>381</v>
      </c>
      <c r="L24" s="9">
        <f t="shared" si="1"/>
        <v>0.4</v>
      </c>
    </row>
    <row r="25" spans="1:12" ht="26.4" x14ac:dyDescent="0.3">
      <c r="A25" s="5" t="s">
        <v>276</v>
      </c>
      <c r="B25" s="6" t="s">
        <v>277</v>
      </c>
      <c r="C25" s="5" t="s">
        <v>407</v>
      </c>
      <c r="D25" s="5">
        <v>2</v>
      </c>
      <c r="E25" s="5">
        <v>1</v>
      </c>
      <c r="F25" s="5">
        <v>2</v>
      </c>
      <c r="G25" s="5">
        <v>2</v>
      </c>
      <c r="H25" s="5">
        <v>1</v>
      </c>
      <c r="I25" s="5" t="s">
        <v>396</v>
      </c>
      <c r="J25" s="10">
        <f t="shared" si="0"/>
        <v>1</v>
      </c>
      <c r="K25" s="5" t="s">
        <v>401</v>
      </c>
      <c r="L25" s="10">
        <f t="shared" si="1"/>
        <v>1</v>
      </c>
    </row>
    <row r="26" spans="1:12" x14ac:dyDescent="0.3">
      <c r="A26" s="2" t="s">
        <v>288</v>
      </c>
      <c r="B26" s="3" t="s">
        <v>289</v>
      </c>
      <c r="C26" s="2" t="s">
        <v>408</v>
      </c>
      <c r="D26" s="2">
        <v>2</v>
      </c>
      <c r="E26" s="2">
        <v>1</v>
      </c>
      <c r="F26" s="2">
        <v>1</v>
      </c>
      <c r="G26" s="2">
        <v>1</v>
      </c>
      <c r="H26" s="2">
        <v>1</v>
      </c>
      <c r="I26" s="2" t="s">
        <v>396</v>
      </c>
      <c r="J26" s="9">
        <f t="shared" si="0"/>
        <v>1</v>
      </c>
      <c r="K26" s="2" t="s">
        <v>401</v>
      </c>
      <c r="L26" s="9">
        <f t="shared" si="1"/>
        <v>1</v>
      </c>
    </row>
    <row r="27" spans="1:12" x14ac:dyDescent="0.3">
      <c r="A27" s="5" t="s">
        <v>300</v>
      </c>
      <c r="B27" s="6" t="s">
        <v>301</v>
      </c>
      <c r="C27" s="5" t="s">
        <v>409</v>
      </c>
      <c r="D27" s="5">
        <v>1</v>
      </c>
      <c r="E27" s="5">
        <v>0</v>
      </c>
      <c r="F27" s="5">
        <v>2</v>
      </c>
      <c r="G27" s="5">
        <v>1</v>
      </c>
      <c r="H27" s="5">
        <v>1</v>
      </c>
      <c r="I27" s="5" t="s">
        <v>377</v>
      </c>
      <c r="J27" s="10">
        <f t="shared" si="0"/>
        <v>0.66666666666666663</v>
      </c>
      <c r="K27" s="5" t="s">
        <v>410</v>
      </c>
      <c r="L27" s="10">
        <f t="shared" si="1"/>
        <v>0.8</v>
      </c>
    </row>
    <row r="28" spans="1:12" x14ac:dyDescent="0.3">
      <c r="A28" s="2" t="s">
        <v>312</v>
      </c>
      <c r="B28" s="3" t="s">
        <v>313</v>
      </c>
      <c r="C28" s="2" t="s">
        <v>408</v>
      </c>
      <c r="D28" s="2">
        <v>2</v>
      </c>
      <c r="E28" s="2">
        <v>1</v>
      </c>
      <c r="F28" s="2">
        <v>1</v>
      </c>
      <c r="G28" s="2">
        <v>1</v>
      </c>
      <c r="H28" s="2">
        <v>1</v>
      </c>
      <c r="I28" s="2" t="s">
        <v>396</v>
      </c>
      <c r="J28" s="9">
        <f t="shared" si="0"/>
        <v>1</v>
      </c>
      <c r="K28" s="2" t="s">
        <v>401</v>
      </c>
      <c r="L28" s="9">
        <f t="shared" si="1"/>
        <v>1</v>
      </c>
    </row>
    <row r="29" spans="1:12" x14ac:dyDescent="0.3">
      <c r="A29" s="5" t="s">
        <v>324</v>
      </c>
      <c r="B29" s="6" t="s">
        <v>325</v>
      </c>
      <c r="C29" s="5" t="s">
        <v>411</v>
      </c>
      <c r="D29" s="5">
        <v>2</v>
      </c>
      <c r="E29" s="5">
        <v>0</v>
      </c>
      <c r="F29" s="5">
        <v>1</v>
      </c>
      <c r="G29" s="5">
        <v>1</v>
      </c>
      <c r="H29" s="5">
        <v>1</v>
      </c>
      <c r="I29" s="5" t="s">
        <v>377</v>
      </c>
      <c r="J29" s="10">
        <f t="shared" si="0"/>
        <v>0.66666666666666663</v>
      </c>
      <c r="K29" s="5" t="s">
        <v>410</v>
      </c>
      <c r="L29" s="10">
        <f t="shared" si="1"/>
        <v>0.8</v>
      </c>
    </row>
    <row r="30" spans="1:12" x14ac:dyDescent="0.3">
      <c r="A30" s="2" t="s">
        <v>335</v>
      </c>
      <c r="B30" s="3" t="s">
        <v>336</v>
      </c>
      <c r="C30" s="2" t="s">
        <v>412</v>
      </c>
      <c r="D30" s="2">
        <v>2</v>
      </c>
      <c r="E30" s="2">
        <v>0</v>
      </c>
      <c r="F30" s="2">
        <v>2</v>
      </c>
      <c r="G30" s="2">
        <v>1</v>
      </c>
      <c r="H30" s="2">
        <v>1</v>
      </c>
      <c r="I30" s="2" t="s">
        <v>377</v>
      </c>
      <c r="J30" s="9">
        <f t="shared" si="0"/>
        <v>0.66666666666666663</v>
      </c>
      <c r="K30" s="2" t="s">
        <v>410</v>
      </c>
      <c r="L30" s="9">
        <f t="shared" si="1"/>
        <v>0.8</v>
      </c>
    </row>
    <row r="31" spans="1:12" ht="26.4" x14ac:dyDescent="0.3">
      <c r="A31" s="5" t="s">
        <v>346</v>
      </c>
      <c r="B31" s="6" t="s">
        <v>347</v>
      </c>
      <c r="C31" s="5" t="s">
        <v>413</v>
      </c>
      <c r="D31" s="5">
        <v>2</v>
      </c>
      <c r="E31" s="5">
        <v>0</v>
      </c>
      <c r="F31" s="5">
        <v>1</v>
      </c>
      <c r="G31" s="5">
        <v>2</v>
      </c>
      <c r="H31" s="5">
        <v>0</v>
      </c>
      <c r="I31" s="5" t="s">
        <v>377</v>
      </c>
      <c r="J31" s="10">
        <f t="shared" si="0"/>
        <v>0.66666666666666663</v>
      </c>
      <c r="K31" s="5" t="s">
        <v>414</v>
      </c>
      <c r="L31" s="10">
        <f t="shared" si="1"/>
        <v>0.6</v>
      </c>
    </row>
  </sheetData>
  <autoFilter ref="A1:L3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E6CE-B0F1-4E4C-AE8A-60165CC4A517}">
  <dimension ref="A1:AN31"/>
  <sheetViews>
    <sheetView tabSelected="1" zoomScaleNormal="100" workbookViewId="0">
      <pane ySplit="1" topLeftCell="A19" activePane="bottomLeft" state="frozen"/>
      <selection pane="bottomLeft" activeCell="AC30" sqref="AC30"/>
    </sheetView>
  </sheetViews>
  <sheetFormatPr defaultColWidth="8.6640625" defaultRowHeight="14.4" x14ac:dyDescent="0.3"/>
  <cols>
    <col min="1" max="1" width="5.21875" customWidth="1"/>
    <col min="2" max="2" width="42" customWidth="1"/>
    <col min="3" max="7" width="3.5546875" hidden="1" customWidth="1"/>
    <col min="8" max="12" width="11.6640625" hidden="1" customWidth="1"/>
    <col min="13" max="14" width="13" hidden="1" customWidth="1"/>
    <col min="15" max="17" width="13" customWidth="1"/>
    <col min="18" max="19" width="13" hidden="1" customWidth="1"/>
    <col min="20" max="20" width="13" customWidth="1"/>
    <col min="21" max="21" width="13" hidden="1" customWidth="1"/>
    <col min="22" max="22" width="13.5546875" customWidth="1"/>
    <col min="23" max="23" width="11.109375" customWidth="1"/>
    <col min="24" max="24" width="13.5546875" customWidth="1"/>
    <col min="25" max="25" width="11.109375" customWidth="1"/>
    <col min="36" max="40" width="8.6640625" customWidth="1"/>
  </cols>
  <sheetData>
    <row r="1" spans="1:40" ht="56.4" customHeight="1" x14ac:dyDescent="0.3">
      <c r="A1" s="1" t="s">
        <v>0</v>
      </c>
      <c r="B1" s="1" t="s">
        <v>1</v>
      </c>
      <c r="C1" s="1" t="s">
        <v>358</v>
      </c>
      <c r="D1" s="1" t="s">
        <v>359</v>
      </c>
      <c r="E1" s="1" t="s">
        <v>360</v>
      </c>
      <c r="F1" s="1" t="s">
        <v>361</v>
      </c>
      <c r="G1" s="1" t="s">
        <v>362</v>
      </c>
      <c r="H1" s="1" t="s">
        <v>415</v>
      </c>
      <c r="I1" s="1" t="s">
        <v>416</v>
      </c>
      <c r="J1" s="1" t="s">
        <v>417</v>
      </c>
      <c r="K1" s="1" t="s">
        <v>418</v>
      </c>
      <c r="L1" s="1" t="s">
        <v>419</v>
      </c>
      <c r="M1" s="1" t="s">
        <v>421</v>
      </c>
      <c r="N1" s="1" t="s">
        <v>420</v>
      </c>
      <c r="O1" s="1" t="s">
        <v>422</v>
      </c>
      <c r="P1" s="1" t="s">
        <v>423</v>
      </c>
      <c r="Q1" s="1" t="s">
        <v>424</v>
      </c>
      <c r="R1" s="1" t="s">
        <v>425</v>
      </c>
      <c r="S1" s="1" t="s">
        <v>426</v>
      </c>
      <c r="T1" s="1" t="s">
        <v>428</v>
      </c>
      <c r="U1" s="1" t="s">
        <v>427</v>
      </c>
      <c r="V1" s="1" t="s">
        <v>434</v>
      </c>
      <c r="W1" s="1" t="s">
        <v>364</v>
      </c>
      <c r="X1" s="1" t="s">
        <v>435</v>
      </c>
      <c r="Y1" s="1" t="s">
        <v>366</v>
      </c>
      <c r="AJ1" s="1" t="s">
        <v>429</v>
      </c>
      <c r="AK1" s="1" t="s">
        <v>430</v>
      </c>
      <c r="AL1" s="1" t="s">
        <v>431</v>
      </c>
      <c r="AM1" s="1" t="s">
        <v>432</v>
      </c>
      <c r="AN1" s="1" t="s">
        <v>433</v>
      </c>
    </row>
    <row r="2" spans="1:40" ht="26.4" x14ac:dyDescent="0.3">
      <c r="A2" s="2" t="s">
        <v>6</v>
      </c>
      <c r="B2" s="3" t="s">
        <v>7</v>
      </c>
      <c r="C2" s="2">
        <v>0</v>
      </c>
      <c r="D2" s="2">
        <v>0</v>
      </c>
      <c r="E2" s="2">
        <v>1</v>
      </c>
      <c r="F2" s="2">
        <v>0</v>
      </c>
      <c r="G2" s="2">
        <v>0</v>
      </c>
      <c r="H2" s="11">
        <f t="shared" ref="H2:H31" si="0">(POWER(2,C2)-1)/LOG(2,2)</f>
        <v>0</v>
      </c>
      <c r="I2" s="11">
        <f t="shared" ref="I2:I31" si="1">(POWER(2,D2)-1)/LOG(3,2)</f>
        <v>0</v>
      </c>
      <c r="J2" s="11">
        <f t="shared" ref="J2:J31" si="2">(POWER(2,E2)-1)/LOG(4,2)</f>
        <v>0.5</v>
      </c>
      <c r="K2" s="11">
        <f t="shared" ref="K2:K31" si="3">(POWER(2,F2)-1)/LOG(5,2)</f>
        <v>0</v>
      </c>
      <c r="L2" s="11">
        <f t="shared" ref="L2:L31" si="4">(POWER(2,G2)-1)/LOG(6,2)</f>
        <v>0</v>
      </c>
      <c r="M2" s="11">
        <f>H2+I2+J2</f>
        <v>0.5</v>
      </c>
      <c r="N2" s="11">
        <f>H2+I2+J2+K2+L2</f>
        <v>0.5</v>
      </c>
      <c r="O2" s="2">
        <f>(POWER(2,LARGE(($C2:$G2),1))-1)/LOG(2,2)</f>
        <v>1</v>
      </c>
      <c r="P2" s="2">
        <f>(POWER(2,LARGE(($C2:$G2),2))-1)/LOG(3,2)</f>
        <v>0</v>
      </c>
      <c r="Q2" s="2">
        <f>(POWER(2,LARGE(($C2:$G2),2))-1)/LOG(3,2)</f>
        <v>0</v>
      </c>
      <c r="R2" s="2">
        <f>(POWER(2,LARGE(($C2:$G2),3))-1)/LOG(4,2)</f>
        <v>0</v>
      </c>
      <c r="S2" s="2">
        <f>(POWER(2,LARGE(($C2:$G2),4))-1)/LOG(5,2)</f>
        <v>0</v>
      </c>
      <c r="T2" s="2">
        <f t="shared" ref="T2:T31" si="5">(SUM(O2:Q2))</f>
        <v>1</v>
      </c>
      <c r="U2" s="2">
        <f>(SUM(O2:S2))</f>
        <v>1</v>
      </c>
      <c r="V2" s="2" t="str">
        <f t="shared" ref="V2:V31" si="6">CONCATENATE(LEFT(M2,6)," / ",LEFT(T2,6))</f>
        <v>0,5 / 1</v>
      </c>
      <c r="W2" s="9">
        <v>0.5</v>
      </c>
      <c r="X2" s="2" t="str">
        <f>CONCATENATE(LEFT(N2,6)," / ",LEFT(U2,6))</f>
        <v>0,5 / 1</v>
      </c>
      <c r="Y2" s="9">
        <v>0.5</v>
      </c>
      <c r="AE2">
        <f>(POWER(2,LARGE(($C2:$G2),1))-1)</f>
        <v>1</v>
      </c>
      <c r="AF2">
        <f>LOG(2,2)</f>
        <v>1</v>
      </c>
      <c r="AJ2" s="11">
        <f>LOG(2,2)</f>
        <v>1</v>
      </c>
      <c r="AK2" s="11">
        <f>LOG(3,2)</f>
        <v>1.5849625007211563</v>
      </c>
      <c r="AL2" s="11">
        <f>LOG(4,2)</f>
        <v>2</v>
      </c>
      <c r="AM2" s="11">
        <f>LOG(5,2)</f>
        <v>2.3219280948873622</v>
      </c>
      <c r="AN2" s="11">
        <f>LOG(6,2)</f>
        <v>2.5849625007211561</v>
      </c>
    </row>
    <row r="3" spans="1:40" ht="26.4" x14ac:dyDescent="0.3">
      <c r="A3" s="5" t="s">
        <v>18</v>
      </c>
      <c r="B3" s="6" t="s">
        <v>19</v>
      </c>
      <c r="C3" s="5">
        <v>1</v>
      </c>
      <c r="D3" s="5">
        <v>0</v>
      </c>
      <c r="E3" s="5">
        <v>0</v>
      </c>
      <c r="F3" s="5">
        <v>0</v>
      </c>
      <c r="G3" s="5">
        <v>2</v>
      </c>
      <c r="H3" s="12">
        <f t="shared" si="0"/>
        <v>1</v>
      </c>
      <c r="I3" s="12">
        <f t="shared" si="1"/>
        <v>0</v>
      </c>
      <c r="J3" s="12">
        <f t="shared" si="2"/>
        <v>0</v>
      </c>
      <c r="K3" s="12">
        <f t="shared" si="3"/>
        <v>0</v>
      </c>
      <c r="L3" s="12">
        <f t="shared" si="4"/>
        <v>1.1605584217036249</v>
      </c>
      <c r="M3" s="12">
        <f>H3+I3+J3</f>
        <v>1</v>
      </c>
      <c r="N3" s="12">
        <f t="shared" ref="N3:N30" si="7">H3+I3+J3+K3+L3</f>
        <v>2.1605584217036249</v>
      </c>
      <c r="O3" s="5">
        <f>(POWER(2,LARGE(($C3:$G3),1))-1)/LOG(2,2)</f>
        <v>3</v>
      </c>
      <c r="P3" s="5">
        <f t="shared" ref="P3:P31" si="8">(POWER(2,LARGE(($C3:$G3),2))-1)/LOG(3,2)</f>
        <v>0.63092975357145742</v>
      </c>
      <c r="Q3" s="5">
        <f t="shared" ref="Q3:Q31" si="9">(POWER(2,LARGE(($C3:$G3),3))-1)/LOG(4,2)</f>
        <v>0</v>
      </c>
      <c r="R3" s="5">
        <f t="shared" ref="R3:R31" si="10">(POWER(2,LARGE(($C3:$G3),4))-1)/LOG(5,2)</f>
        <v>0</v>
      </c>
      <c r="S3" s="5">
        <f t="shared" ref="S3:S31" si="11">(POWER(2,LARGE(($C3:$G3),5))-1)/LOG(6,2)</f>
        <v>0</v>
      </c>
      <c r="T3" s="5">
        <f t="shared" si="5"/>
        <v>3.6309297535714573</v>
      </c>
      <c r="U3" s="5">
        <f t="shared" ref="U3:U31" si="12">(SUM(O3:S3))</f>
        <v>3.6309297535714573</v>
      </c>
      <c r="V3" s="5" t="str">
        <f t="shared" si="6"/>
        <v>1 / 3,6309</v>
      </c>
      <c r="W3" s="10">
        <v>0.27541155237618697</v>
      </c>
      <c r="X3" s="5" t="str">
        <f t="shared" ref="X3:X31" si="13">CONCATENATE(LEFT(N3,6)," / ",LEFT(U3,6))</f>
        <v>2,1605 / 3,6309</v>
      </c>
      <c r="Y3" s="10">
        <v>0.59504274892083897</v>
      </c>
      <c r="AE3">
        <f>(POWER(2,LARGE(($C3:$G3),1)))</f>
        <v>4</v>
      </c>
      <c r="AF3">
        <f>LOG(2,2)</f>
        <v>1</v>
      </c>
    </row>
    <row r="4" spans="1:40" ht="26.4" x14ac:dyDescent="0.3">
      <c r="A4" s="2" t="s">
        <v>30</v>
      </c>
      <c r="B4" s="3" t="s">
        <v>31</v>
      </c>
      <c r="C4" s="2">
        <v>0</v>
      </c>
      <c r="D4" s="2">
        <v>1</v>
      </c>
      <c r="E4" s="2">
        <v>0</v>
      </c>
      <c r="F4" s="2">
        <v>0</v>
      </c>
      <c r="G4" s="2">
        <v>0</v>
      </c>
      <c r="H4" s="11">
        <f t="shared" si="0"/>
        <v>0</v>
      </c>
      <c r="I4" s="11">
        <f t="shared" si="1"/>
        <v>0.63092975357145742</v>
      </c>
      <c r="J4" s="11">
        <f t="shared" si="2"/>
        <v>0</v>
      </c>
      <c r="K4" s="11">
        <f t="shared" si="3"/>
        <v>0</v>
      </c>
      <c r="L4" s="11">
        <f t="shared" si="4"/>
        <v>0</v>
      </c>
      <c r="M4" s="11">
        <f t="shared" ref="M4:M31" si="14">H4+I4+J4</f>
        <v>0.63092975357145742</v>
      </c>
      <c r="N4" s="11">
        <f t="shared" si="7"/>
        <v>0.63092975357145742</v>
      </c>
      <c r="O4" s="2">
        <f t="shared" ref="O4:O31" si="15">(POWER(2,LARGE(($C4:$G4),1))-1)/LOG(2,2)</f>
        <v>1</v>
      </c>
      <c r="P4" s="2">
        <f t="shared" si="8"/>
        <v>0</v>
      </c>
      <c r="Q4" s="2">
        <f t="shared" si="9"/>
        <v>0</v>
      </c>
      <c r="R4" s="2">
        <f t="shared" si="10"/>
        <v>0</v>
      </c>
      <c r="S4" s="2">
        <f t="shared" si="11"/>
        <v>0</v>
      </c>
      <c r="T4" s="2">
        <f t="shared" si="5"/>
        <v>1</v>
      </c>
      <c r="U4" s="2">
        <f t="shared" si="12"/>
        <v>1</v>
      </c>
      <c r="V4" s="2" t="str">
        <f>CONCATENATE(LEFT(M4,6)," / ",LEFT(T4,6))</f>
        <v>0,6309 / 1</v>
      </c>
      <c r="W4" s="9">
        <v>0.63092975357145697</v>
      </c>
      <c r="X4" s="2" t="str">
        <f t="shared" si="13"/>
        <v>0,6309 / 1</v>
      </c>
      <c r="Y4" s="9">
        <v>0.63092975357145697</v>
      </c>
      <c r="AE4">
        <f>(POWER(2,LARGE(($C3:$G3),1))-1)/LOG(2,2)</f>
        <v>3</v>
      </c>
    </row>
    <row r="5" spans="1:40" ht="26.4" x14ac:dyDescent="0.3">
      <c r="A5" s="5" t="s">
        <v>42</v>
      </c>
      <c r="B5" s="6" t="s">
        <v>43</v>
      </c>
      <c r="C5" s="5">
        <v>2</v>
      </c>
      <c r="D5" s="5">
        <v>0</v>
      </c>
      <c r="E5" s="5">
        <v>1</v>
      </c>
      <c r="F5" s="5">
        <v>0</v>
      </c>
      <c r="G5" s="5">
        <v>0</v>
      </c>
      <c r="H5" s="12">
        <f t="shared" si="0"/>
        <v>3</v>
      </c>
      <c r="I5" s="12">
        <f t="shared" si="1"/>
        <v>0</v>
      </c>
      <c r="J5" s="12">
        <f t="shared" si="2"/>
        <v>0.5</v>
      </c>
      <c r="K5" s="12">
        <f t="shared" si="3"/>
        <v>0</v>
      </c>
      <c r="L5" s="12">
        <f t="shared" si="4"/>
        <v>0</v>
      </c>
      <c r="M5" s="12">
        <f t="shared" si="14"/>
        <v>3.5</v>
      </c>
      <c r="N5" s="12">
        <f t="shared" si="7"/>
        <v>3.5</v>
      </c>
      <c r="O5" s="5">
        <f t="shared" si="15"/>
        <v>3</v>
      </c>
      <c r="P5" s="5">
        <f t="shared" si="8"/>
        <v>0.63092975357145742</v>
      </c>
      <c r="Q5" s="5">
        <f t="shared" si="9"/>
        <v>0</v>
      </c>
      <c r="R5" s="5">
        <f t="shared" si="10"/>
        <v>0</v>
      </c>
      <c r="S5" s="5">
        <f t="shared" si="11"/>
        <v>0</v>
      </c>
      <c r="T5" s="5">
        <f t="shared" si="5"/>
        <v>3.6309297535714573</v>
      </c>
      <c r="U5" s="5">
        <f t="shared" si="12"/>
        <v>3.6309297535714573</v>
      </c>
      <c r="V5" s="5" t="str">
        <f t="shared" si="6"/>
        <v>3,5 / 3,6309</v>
      </c>
      <c r="W5" s="10">
        <v>0.96394043331665302</v>
      </c>
      <c r="X5" s="5" t="str">
        <f t="shared" si="13"/>
        <v>3,5 / 3,6309</v>
      </c>
      <c r="Y5" s="10">
        <v>0.96394043331665302</v>
      </c>
    </row>
    <row r="6" spans="1:40" x14ac:dyDescent="0.3">
      <c r="A6" s="2" t="s">
        <v>54</v>
      </c>
      <c r="B6" s="3" t="s">
        <v>55</v>
      </c>
      <c r="C6" s="2">
        <v>1</v>
      </c>
      <c r="D6" s="2">
        <v>1</v>
      </c>
      <c r="E6" s="2">
        <v>0</v>
      </c>
      <c r="F6" s="2">
        <v>0</v>
      </c>
      <c r="G6" s="2">
        <v>0</v>
      </c>
      <c r="H6" s="11">
        <f t="shared" si="0"/>
        <v>1</v>
      </c>
      <c r="I6" s="11">
        <f t="shared" si="1"/>
        <v>0.63092975357145742</v>
      </c>
      <c r="J6" s="11">
        <f t="shared" si="2"/>
        <v>0</v>
      </c>
      <c r="K6" s="11">
        <f t="shared" si="3"/>
        <v>0</v>
      </c>
      <c r="L6" s="11">
        <f t="shared" si="4"/>
        <v>0</v>
      </c>
      <c r="M6" s="11">
        <f t="shared" si="14"/>
        <v>1.6309297535714573</v>
      </c>
      <c r="N6" s="11">
        <f t="shared" si="7"/>
        <v>1.6309297535714573</v>
      </c>
      <c r="O6" s="2">
        <f t="shared" si="15"/>
        <v>1</v>
      </c>
      <c r="P6" s="2">
        <f t="shared" si="8"/>
        <v>0.63092975357145742</v>
      </c>
      <c r="Q6" s="2">
        <f t="shared" si="9"/>
        <v>0</v>
      </c>
      <c r="R6" s="2">
        <f t="shared" si="10"/>
        <v>0</v>
      </c>
      <c r="S6" s="2">
        <f t="shared" si="11"/>
        <v>0</v>
      </c>
      <c r="T6" s="2">
        <f t="shared" si="5"/>
        <v>1.6309297535714573</v>
      </c>
      <c r="U6" s="2">
        <f t="shared" si="12"/>
        <v>1.6309297535714573</v>
      </c>
      <c r="V6" s="2" t="str">
        <f t="shared" si="6"/>
        <v>1,6309 / 1,6309</v>
      </c>
      <c r="W6" s="9">
        <v>1</v>
      </c>
      <c r="X6" s="2" t="str">
        <f t="shared" si="13"/>
        <v>1,6309 / 1,6309</v>
      </c>
      <c r="Y6" s="9">
        <v>1</v>
      </c>
    </row>
    <row r="7" spans="1:40" ht="26.4" x14ac:dyDescent="0.3">
      <c r="A7" s="5" t="s">
        <v>66</v>
      </c>
      <c r="B7" s="6" t="s">
        <v>67</v>
      </c>
      <c r="C7" s="5">
        <v>1</v>
      </c>
      <c r="D7" s="5">
        <v>1</v>
      </c>
      <c r="E7" s="5">
        <v>0</v>
      </c>
      <c r="F7" s="5">
        <v>0</v>
      </c>
      <c r="G7" s="5">
        <v>0</v>
      </c>
      <c r="H7" s="12">
        <f t="shared" si="0"/>
        <v>1</v>
      </c>
      <c r="I7" s="12">
        <f t="shared" si="1"/>
        <v>0.63092975357145742</v>
      </c>
      <c r="J7" s="12">
        <f t="shared" si="2"/>
        <v>0</v>
      </c>
      <c r="K7" s="12">
        <f t="shared" si="3"/>
        <v>0</v>
      </c>
      <c r="L7" s="12">
        <f t="shared" si="4"/>
        <v>0</v>
      </c>
      <c r="M7" s="12">
        <f t="shared" si="14"/>
        <v>1.6309297535714573</v>
      </c>
      <c r="N7" s="12">
        <f t="shared" si="7"/>
        <v>1.6309297535714573</v>
      </c>
      <c r="O7" s="5">
        <f t="shared" si="15"/>
        <v>1</v>
      </c>
      <c r="P7" s="5">
        <f t="shared" si="8"/>
        <v>0.63092975357145742</v>
      </c>
      <c r="Q7" s="5">
        <f t="shared" si="9"/>
        <v>0</v>
      </c>
      <c r="R7" s="5">
        <f t="shared" si="10"/>
        <v>0</v>
      </c>
      <c r="S7" s="5">
        <f t="shared" si="11"/>
        <v>0</v>
      </c>
      <c r="T7" s="5">
        <f t="shared" si="5"/>
        <v>1.6309297535714573</v>
      </c>
      <c r="U7" s="5">
        <f t="shared" si="12"/>
        <v>1.6309297535714573</v>
      </c>
      <c r="V7" s="5" t="str">
        <f t="shared" si="6"/>
        <v>1,6309 / 1,6309</v>
      </c>
      <c r="W7" s="10">
        <v>1</v>
      </c>
      <c r="X7" s="5" t="str">
        <f t="shared" si="13"/>
        <v>1,6309 / 1,6309</v>
      </c>
      <c r="Y7" s="10">
        <v>1</v>
      </c>
    </row>
    <row r="8" spans="1:40" ht="26.4" x14ac:dyDescent="0.3">
      <c r="A8" s="2" t="s">
        <v>78</v>
      </c>
      <c r="B8" s="3" t="s">
        <v>79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11">
        <f t="shared" si="0"/>
        <v>0</v>
      </c>
      <c r="I8" s="11">
        <f t="shared" si="1"/>
        <v>0</v>
      </c>
      <c r="J8" s="11">
        <f t="shared" si="2"/>
        <v>0</v>
      </c>
      <c r="K8" s="11">
        <f t="shared" si="3"/>
        <v>0.43067655807339306</v>
      </c>
      <c r="L8" s="11">
        <f t="shared" si="4"/>
        <v>0</v>
      </c>
      <c r="M8" s="11">
        <f t="shared" si="14"/>
        <v>0</v>
      </c>
      <c r="N8" s="11">
        <f t="shared" si="7"/>
        <v>0.43067655807339306</v>
      </c>
      <c r="O8" s="2">
        <f t="shared" si="15"/>
        <v>1</v>
      </c>
      <c r="P8" s="2">
        <f t="shared" si="8"/>
        <v>0</v>
      </c>
      <c r="Q8" s="2">
        <f t="shared" si="9"/>
        <v>0</v>
      </c>
      <c r="R8" s="2">
        <f t="shared" si="10"/>
        <v>0</v>
      </c>
      <c r="S8" s="2">
        <f t="shared" si="11"/>
        <v>0</v>
      </c>
      <c r="T8" s="2">
        <f t="shared" si="5"/>
        <v>1</v>
      </c>
      <c r="U8" s="2">
        <f t="shared" si="12"/>
        <v>1</v>
      </c>
      <c r="V8" s="2" t="str">
        <f t="shared" si="6"/>
        <v>0 / 1</v>
      </c>
      <c r="W8" s="9">
        <v>0</v>
      </c>
      <c r="X8" s="2" t="str">
        <f t="shared" si="13"/>
        <v>0,4306 / 1</v>
      </c>
      <c r="Y8" s="9">
        <v>0.430676558073393</v>
      </c>
    </row>
    <row r="9" spans="1:40" ht="26.4" x14ac:dyDescent="0.3">
      <c r="A9" s="5" t="s">
        <v>90</v>
      </c>
      <c r="B9" s="6" t="s">
        <v>91</v>
      </c>
      <c r="C9" s="5">
        <v>2</v>
      </c>
      <c r="D9" s="5">
        <v>0</v>
      </c>
      <c r="E9" s="5">
        <v>0</v>
      </c>
      <c r="F9" s="5">
        <v>0</v>
      </c>
      <c r="G9" s="5">
        <v>0</v>
      </c>
      <c r="H9" s="12">
        <f t="shared" si="0"/>
        <v>3</v>
      </c>
      <c r="I9" s="12">
        <f t="shared" si="1"/>
        <v>0</v>
      </c>
      <c r="J9" s="12">
        <f t="shared" si="2"/>
        <v>0</v>
      </c>
      <c r="K9" s="12">
        <f t="shared" si="3"/>
        <v>0</v>
      </c>
      <c r="L9" s="12">
        <f t="shared" si="4"/>
        <v>0</v>
      </c>
      <c r="M9" s="12">
        <f t="shared" si="14"/>
        <v>3</v>
      </c>
      <c r="N9" s="12">
        <f t="shared" si="7"/>
        <v>3</v>
      </c>
      <c r="O9" s="5">
        <f t="shared" si="15"/>
        <v>3</v>
      </c>
      <c r="P9" s="5">
        <f t="shared" si="8"/>
        <v>0</v>
      </c>
      <c r="Q9" s="5">
        <f t="shared" si="9"/>
        <v>0</v>
      </c>
      <c r="R9" s="5">
        <f t="shared" si="10"/>
        <v>0</v>
      </c>
      <c r="S9" s="5">
        <f t="shared" si="11"/>
        <v>0</v>
      </c>
      <c r="T9" s="5">
        <f t="shared" si="5"/>
        <v>3</v>
      </c>
      <c r="U9" s="5">
        <f t="shared" si="12"/>
        <v>3</v>
      </c>
      <c r="V9" s="5" t="str">
        <f t="shared" si="6"/>
        <v>3 / 3</v>
      </c>
      <c r="W9" s="10">
        <v>1</v>
      </c>
      <c r="X9" s="5" t="str">
        <f t="shared" si="13"/>
        <v>3 / 3</v>
      </c>
      <c r="Y9" s="10">
        <v>1</v>
      </c>
    </row>
    <row r="10" spans="1:40" x14ac:dyDescent="0.3">
      <c r="A10" s="2" t="s">
        <v>102</v>
      </c>
      <c r="B10" s="3" t="s">
        <v>103</v>
      </c>
      <c r="C10" s="2">
        <v>2</v>
      </c>
      <c r="D10" s="2">
        <v>1</v>
      </c>
      <c r="E10" s="2">
        <v>0</v>
      </c>
      <c r="F10" s="2">
        <v>0</v>
      </c>
      <c r="G10" s="2">
        <v>1</v>
      </c>
      <c r="H10" s="11">
        <f t="shared" si="0"/>
        <v>3</v>
      </c>
      <c r="I10" s="11">
        <f t="shared" si="1"/>
        <v>0.63092975357145742</v>
      </c>
      <c r="J10" s="11">
        <f t="shared" si="2"/>
        <v>0</v>
      </c>
      <c r="K10" s="11">
        <f t="shared" si="3"/>
        <v>0</v>
      </c>
      <c r="L10" s="11">
        <f t="shared" si="4"/>
        <v>0.38685280723454163</v>
      </c>
      <c r="M10" s="11">
        <f t="shared" si="14"/>
        <v>3.6309297535714573</v>
      </c>
      <c r="N10" s="11">
        <f t="shared" si="7"/>
        <v>4.0177825608059994</v>
      </c>
      <c r="O10" s="2">
        <f t="shared" si="15"/>
        <v>3</v>
      </c>
      <c r="P10" s="2">
        <f t="shared" si="8"/>
        <v>0.63092975357145742</v>
      </c>
      <c r="Q10" s="2">
        <f t="shared" si="9"/>
        <v>0.5</v>
      </c>
      <c r="R10" s="2">
        <f t="shared" si="10"/>
        <v>0</v>
      </c>
      <c r="S10" s="2">
        <f t="shared" si="11"/>
        <v>0</v>
      </c>
      <c r="T10" s="2">
        <f t="shared" si="5"/>
        <v>4.1309297535714578</v>
      </c>
      <c r="U10" s="2">
        <f t="shared" si="12"/>
        <v>4.1309297535714578</v>
      </c>
      <c r="V10" s="2" t="str">
        <f t="shared" si="6"/>
        <v>3,6309 / 4,1309</v>
      </c>
      <c r="W10" s="9">
        <v>0.87896187303409901</v>
      </c>
      <c r="X10" s="2" t="str">
        <f t="shared" si="13"/>
        <v>4,0177 / 4,1309</v>
      </c>
      <c r="Y10" s="9">
        <v>0.972609751432438</v>
      </c>
    </row>
    <row r="11" spans="1:40" x14ac:dyDescent="0.3">
      <c r="A11" s="5" t="s">
        <v>114</v>
      </c>
      <c r="B11" s="6" t="s">
        <v>115</v>
      </c>
      <c r="C11" s="5">
        <v>1</v>
      </c>
      <c r="D11" s="5">
        <v>0</v>
      </c>
      <c r="E11" s="5">
        <v>0</v>
      </c>
      <c r="F11" s="5">
        <v>0</v>
      </c>
      <c r="G11" s="5">
        <v>0</v>
      </c>
      <c r="H11" s="12">
        <f t="shared" si="0"/>
        <v>1</v>
      </c>
      <c r="I11" s="12">
        <f t="shared" si="1"/>
        <v>0</v>
      </c>
      <c r="J11" s="12">
        <f t="shared" si="2"/>
        <v>0</v>
      </c>
      <c r="K11" s="12">
        <f t="shared" si="3"/>
        <v>0</v>
      </c>
      <c r="L11" s="12">
        <f t="shared" si="4"/>
        <v>0</v>
      </c>
      <c r="M11" s="12">
        <f t="shared" si="14"/>
        <v>1</v>
      </c>
      <c r="N11" s="12">
        <f t="shared" si="7"/>
        <v>1</v>
      </c>
      <c r="O11" s="5">
        <f t="shared" si="15"/>
        <v>1</v>
      </c>
      <c r="P11" s="5">
        <f t="shared" si="8"/>
        <v>0</v>
      </c>
      <c r="Q11" s="5">
        <f t="shared" si="9"/>
        <v>0</v>
      </c>
      <c r="R11" s="5">
        <f t="shared" si="10"/>
        <v>0</v>
      </c>
      <c r="S11" s="5">
        <f t="shared" si="11"/>
        <v>0</v>
      </c>
      <c r="T11" s="5">
        <f t="shared" si="5"/>
        <v>1</v>
      </c>
      <c r="U11" s="5">
        <f t="shared" si="12"/>
        <v>1</v>
      </c>
      <c r="V11" s="5" t="str">
        <f t="shared" si="6"/>
        <v>1 / 1</v>
      </c>
      <c r="W11" s="10">
        <v>1</v>
      </c>
      <c r="X11" s="5" t="str">
        <f t="shared" si="13"/>
        <v>1 / 1</v>
      </c>
      <c r="Y11" s="10">
        <v>1</v>
      </c>
    </row>
    <row r="12" spans="1:40" x14ac:dyDescent="0.3">
      <c r="A12" s="2" t="s">
        <v>126</v>
      </c>
      <c r="B12" s="3" t="s">
        <v>127</v>
      </c>
      <c r="C12" s="2">
        <v>1</v>
      </c>
      <c r="D12" s="2">
        <v>0</v>
      </c>
      <c r="E12" s="2">
        <v>0</v>
      </c>
      <c r="F12" s="2">
        <v>0</v>
      </c>
      <c r="G12" s="2">
        <v>0</v>
      </c>
      <c r="H12" s="11">
        <f t="shared" si="0"/>
        <v>1</v>
      </c>
      <c r="I12" s="11">
        <f t="shared" si="1"/>
        <v>0</v>
      </c>
      <c r="J12" s="11">
        <f t="shared" si="2"/>
        <v>0</v>
      </c>
      <c r="K12" s="11">
        <f t="shared" si="3"/>
        <v>0</v>
      </c>
      <c r="L12" s="11">
        <f t="shared" si="4"/>
        <v>0</v>
      </c>
      <c r="M12" s="11">
        <f t="shared" si="14"/>
        <v>1</v>
      </c>
      <c r="N12" s="11">
        <f t="shared" si="7"/>
        <v>1</v>
      </c>
      <c r="O12" s="2">
        <f t="shared" si="15"/>
        <v>1</v>
      </c>
      <c r="P12" s="2">
        <f t="shared" si="8"/>
        <v>0</v>
      </c>
      <c r="Q12" s="2">
        <f t="shared" si="9"/>
        <v>0</v>
      </c>
      <c r="R12" s="2">
        <f t="shared" si="10"/>
        <v>0</v>
      </c>
      <c r="S12" s="2">
        <f t="shared" si="11"/>
        <v>0</v>
      </c>
      <c r="T12" s="2">
        <f t="shared" si="5"/>
        <v>1</v>
      </c>
      <c r="U12" s="2">
        <f t="shared" si="12"/>
        <v>1</v>
      </c>
      <c r="V12" s="2" t="str">
        <f t="shared" si="6"/>
        <v>1 / 1</v>
      </c>
      <c r="W12" s="9">
        <v>1</v>
      </c>
      <c r="X12" s="2" t="str">
        <f t="shared" si="13"/>
        <v>1 / 1</v>
      </c>
      <c r="Y12" s="9">
        <v>1</v>
      </c>
    </row>
    <row r="13" spans="1:40" x14ac:dyDescent="0.3">
      <c r="A13" s="5" t="s">
        <v>138</v>
      </c>
      <c r="B13" s="6" t="s">
        <v>139</v>
      </c>
      <c r="C13" s="5">
        <v>1</v>
      </c>
      <c r="D13" s="5">
        <v>2</v>
      </c>
      <c r="E13" s="5">
        <v>0</v>
      </c>
      <c r="F13" s="5">
        <v>1</v>
      </c>
      <c r="G13" s="5">
        <v>0</v>
      </c>
      <c r="H13" s="12">
        <f t="shared" si="0"/>
        <v>1</v>
      </c>
      <c r="I13" s="12">
        <f t="shared" si="1"/>
        <v>1.8927892607143721</v>
      </c>
      <c r="J13" s="12">
        <f t="shared" si="2"/>
        <v>0</v>
      </c>
      <c r="K13" s="12">
        <f t="shared" si="3"/>
        <v>0.43067655807339306</v>
      </c>
      <c r="L13" s="12">
        <f t="shared" si="4"/>
        <v>0</v>
      </c>
      <c r="M13" s="12">
        <f t="shared" si="14"/>
        <v>2.8927892607143724</v>
      </c>
      <c r="N13" s="12">
        <f t="shared" si="7"/>
        <v>3.3234658187877653</v>
      </c>
      <c r="O13" s="5">
        <f t="shared" si="15"/>
        <v>3</v>
      </c>
      <c r="P13" s="5">
        <f t="shared" si="8"/>
        <v>0.63092975357145742</v>
      </c>
      <c r="Q13" s="5">
        <f t="shared" si="9"/>
        <v>0.5</v>
      </c>
      <c r="R13" s="5">
        <f t="shared" si="10"/>
        <v>0</v>
      </c>
      <c r="S13" s="5">
        <f t="shared" si="11"/>
        <v>0</v>
      </c>
      <c r="T13" s="5">
        <f t="shared" si="5"/>
        <v>4.1309297535714578</v>
      </c>
      <c r="U13" s="5">
        <f t="shared" si="12"/>
        <v>4.1309297535714578</v>
      </c>
      <c r="V13" s="5" t="str">
        <f t="shared" si="6"/>
        <v>2,8927 / 4,1309</v>
      </c>
      <c r="W13" s="10">
        <v>0.700275587647882</v>
      </c>
      <c r="X13" s="5" t="str">
        <f t="shared" si="13"/>
        <v>3,3234 / 4,1309</v>
      </c>
      <c r="Y13" s="10">
        <v>0.80453215548253099</v>
      </c>
    </row>
    <row r="14" spans="1:40" x14ac:dyDescent="0.3">
      <c r="A14" s="2" t="s">
        <v>150</v>
      </c>
      <c r="B14" s="3" t="s">
        <v>151</v>
      </c>
      <c r="C14" s="2">
        <v>2</v>
      </c>
      <c r="D14" s="2">
        <v>0</v>
      </c>
      <c r="E14" s="2">
        <v>0</v>
      </c>
      <c r="F14" s="2">
        <v>1</v>
      </c>
      <c r="G14" s="2">
        <v>0</v>
      </c>
      <c r="H14" s="11">
        <f t="shared" si="0"/>
        <v>3</v>
      </c>
      <c r="I14" s="11">
        <f t="shared" si="1"/>
        <v>0</v>
      </c>
      <c r="J14" s="11">
        <f t="shared" si="2"/>
        <v>0</v>
      </c>
      <c r="K14" s="11">
        <f t="shared" si="3"/>
        <v>0.43067655807339306</v>
      </c>
      <c r="L14" s="11">
        <f t="shared" si="4"/>
        <v>0</v>
      </c>
      <c r="M14" s="11">
        <f t="shared" si="14"/>
        <v>3</v>
      </c>
      <c r="N14" s="11">
        <f t="shared" si="7"/>
        <v>3.4306765580733929</v>
      </c>
      <c r="O14" s="2">
        <f t="shared" si="15"/>
        <v>3</v>
      </c>
      <c r="P14" s="2">
        <f t="shared" si="8"/>
        <v>0.63092975357145742</v>
      </c>
      <c r="Q14" s="2">
        <f t="shared" si="9"/>
        <v>0</v>
      </c>
      <c r="R14" s="2">
        <f t="shared" si="10"/>
        <v>0</v>
      </c>
      <c r="S14" s="2">
        <f t="shared" si="11"/>
        <v>0</v>
      </c>
      <c r="T14" s="2">
        <f t="shared" si="5"/>
        <v>3.6309297535714573</v>
      </c>
      <c r="U14" s="2">
        <f t="shared" si="12"/>
        <v>3.6309297535714573</v>
      </c>
      <c r="V14" s="2" t="str">
        <f t="shared" si="6"/>
        <v>3 / 3,6309</v>
      </c>
      <c r="W14" s="9">
        <v>0.82623465712856003</v>
      </c>
      <c r="X14" s="2" t="str">
        <f t="shared" si="13"/>
        <v>3,4306 / 3,6309</v>
      </c>
      <c r="Y14" s="9">
        <v>0.94484795655958598</v>
      </c>
    </row>
    <row r="15" spans="1:40" x14ac:dyDescent="0.3">
      <c r="A15" s="5" t="s">
        <v>161</v>
      </c>
      <c r="B15" s="6" t="s">
        <v>162</v>
      </c>
      <c r="C15" s="5">
        <v>2</v>
      </c>
      <c r="D15" s="5">
        <v>2</v>
      </c>
      <c r="E15" s="5">
        <v>0</v>
      </c>
      <c r="F15" s="5">
        <v>0</v>
      </c>
      <c r="G15" s="5">
        <v>1</v>
      </c>
      <c r="H15" s="12">
        <f t="shared" si="0"/>
        <v>3</v>
      </c>
      <c r="I15" s="12">
        <f t="shared" si="1"/>
        <v>1.8927892607143721</v>
      </c>
      <c r="J15" s="12">
        <f t="shared" si="2"/>
        <v>0</v>
      </c>
      <c r="K15" s="12">
        <f t="shared" si="3"/>
        <v>0</v>
      </c>
      <c r="L15" s="12">
        <f t="shared" si="4"/>
        <v>0.38685280723454163</v>
      </c>
      <c r="M15" s="12">
        <f t="shared" si="14"/>
        <v>4.8927892607143724</v>
      </c>
      <c r="N15" s="12">
        <f t="shared" si="7"/>
        <v>5.279642067948914</v>
      </c>
      <c r="O15" s="5">
        <f t="shared" si="15"/>
        <v>3</v>
      </c>
      <c r="P15" s="5">
        <f t="shared" si="8"/>
        <v>1.8927892607143721</v>
      </c>
      <c r="Q15" s="5">
        <f t="shared" si="9"/>
        <v>0.5</v>
      </c>
      <c r="R15" s="5">
        <f t="shared" si="10"/>
        <v>0</v>
      </c>
      <c r="S15" s="5">
        <f t="shared" si="11"/>
        <v>0</v>
      </c>
      <c r="T15" s="5">
        <f t="shared" si="5"/>
        <v>5.3927892607143724</v>
      </c>
      <c r="U15" s="5">
        <f t="shared" si="12"/>
        <v>5.3927892607143724</v>
      </c>
      <c r="V15" s="5" t="str">
        <f t="shared" si="6"/>
        <v>4,8927 / 5,3927</v>
      </c>
      <c r="W15" s="10">
        <v>0.90728360115192697</v>
      </c>
      <c r="X15" s="5" t="str">
        <f t="shared" si="13"/>
        <v>5,2796 / 5,3927</v>
      </c>
      <c r="Y15" s="10">
        <v>0.97901879949403603</v>
      </c>
    </row>
    <row r="16" spans="1:40" x14ac:dyDescent="0.3">
      <c r="A16" s="2" t="s">
        <v>173</v>
      </c>
      <c r="B16" s="3" t="s">
        <v>174</v>
      </c>
      <c r="C16" s="2">
        <v>1</v>
      </c>
      <c r="D16" s="2">
        <v>2</v>
      </c>
      <c r="E16" s="2">
        <v>2</v>
      </c>
      <c r="F16" s="2">
        <v>0</v>
      </c>
      <c r="G16" s="2">
        <v>0</v>
      </c>
      <c r="H16" s="11">
        <f t="shared" si="0"/>
        <v>1</v>
      </c>
      <c r="I16" s="11">
        <f t="shared" si="1"/>
        <v>1.8927892607143721</v>
      </c>
      <c r="J16" s="11">
        <f t="shared" si="2"/>
        <v>1.5</v>
      </c>
      <c r="K16" s="11">
        <f t="shared" si="3"/>
        <v>0</v>
      </c>
      <c r="L16" s="11">
        <f t="shared" si="4"/>
        <v>0</v>
      </c>
      <c r="M16" s="11">
        <f t="shared" si="14"/>
        <v>4.3927892607143724</v>
      </c>
      <c r="N16" s="11">
        <f t="shared" si="7"/>
        <v>4.3927892607143724</v>
      </c>
      <c r="O16" s="2">
        <f t="shared" si="15"/>
        <v>3</v>
      </c>
      <c r="P16" s="2">
        <f t="shared" si="8"/>
        <v>1.8927892607143721</v>
      </c>
      <c r="Q16" s="2">
        <f t="shared" si="9"/>
        <v>0.5</v>
      </c>
      <c r="R16" s="2">
        <f t="shared" si="10"/>
        <v>0</v>
      </c>
      <c r="S16" s="2">
        <f t="shared" si="11"/>
        <v>0</v>
      </c>
      <c r="T16" s="2">
        <f t="shared" si="5"/>
        <v>5.3927892607143724</v>
      </c>
      <c r="U16" s="2">
        <f t="shared" si="12"/>
        <v>5.3927892607143724</v>
      </c>
      <c r="V16" s="2" t="str">
        <f t="shared" si="6"/>
        <v>4,3927 / 5,3927</v>
      </c>
      <c r="W16" s="9">
        <v>0.81456720230385404</v>
      </c>
      <c r="X16" s="2" t="str">
        <f t="shared" si="13"/>
        <v>4,3927 / 5,3927</v>
      </c>
      <c r="Y16" s="9">
        <v>0.81456720230385404</v>
      </c>
    </row>
    <row r="17" spans="1:25" x14ac:dyDescent="0.3">
      <c r="A17" s="5" t="s">
        <v>184</v>
      </c>
      <c r="B17" s="6" t="s">
        <v>185</v>
      </c>
      <c r="C17" s="5">
        <v>2</v>
      </c>
      <c r="D17" s="5">
        <v>2</v>
      </c>
      <c r="E17" s="5">
        <v>1</v>
      </c>
      <c r="F17" s="5">
        <v>0</v>
      </c>
      <c r="G17" s="5">
        <v>1</v>
      </c>
      <c r="H17" s="12">
        <f t="shared" si="0"/>
        <v>3</v>
      </c>
      <c r="I17" s="12">
        <f t="shared" si="1"/>
        <v>1.8927892607143721</v>
      </c>
      <c r="J17" s="12">
        <f t="shared" si="2"/>
        <v>0.5</v>
      </c>
      <c r="K17" s="12">
        <f t="shared" si="3"/>
        <v>0</v>
      </c>
      <c r="L17" s="12">
        <f t="shared" si="4"/>
        <v>0.38685280723454163</v>
      </c>
      <c r="M17" s="12">
        <f t="shared" si="14"/>
        <v>5.3927892607143724</v>
      </c>
      <c r="N17" s="12">
        <f t="shared" si="7"/>
        <v>5.779642067948914</v>
      </c>
      <c r="O17" s="5">
        <f t="shared" si="15"/>
        <v>3</v>
      </c>
      <c r="P17" s="5">
        <f t="shared" si="8"/>
        <v>1.8927892607143721</v>
      </c>
      <c r="Q17" s="5">
        <f t="shared" si="9"/>
        <v>0.5</v>
      </c>
      <c r="R17" s="5">
        <f t="shared" si="10"/>
        <v>0.43067655807339306</v>
      </c>
      <c r="S17" s="5">
        <f t="shared" si="11"/>
        <v>0</v>
      </c>
      <c r="T17" s="5">
        <f t="shared" si="5"/>
        <v>5.3927892607143724</v>
      </c>
      <c r="U17" s="5">
        <f t="shared" si="12"/>
        <v>5.8234658187877653</v>
      </c>
      <c r="V17" s="5" t="str">
        <f t="shared" si="6"/>
        <v>5,3927 / 5,3927</v>
      </c>
      <c r="W17" s="10">
        <v>1</v>
      </c>
      <c r="X17" s="5" t="str">
        <f t="shared" si="13"/>
        <v>5,7796 / 5,8234</v>
      </c>
      <c r="Y17" s="10">
        <v>0.99247462727479796</v>
      </c>
    </row>
    <row r="18" spans="1:25" ht="26.4" x14ac:dyDescent="0.3">
      <c r="A18" s="2" t="s">
        <v>196</v>
      </c>
      <c r="B18" s="3" t="s">
        <v>197</v>
      </c>
      <c r="C18" s="2">
        <v>1</v>
      </c>
      <c r="D18" s="2">
        <v>2</v>
      </c>
      <c r="E18" s="2">
        <v>1</v>
      </c>
      <c r="F18" s="2">
        <v>2</v>
      </c>
      <c r="G18" s="2">
        <v>1</v>
      </c>
      <c r="H18" s="11">
        <f t="shared" si="0"/>
        <v>1</v>
      </c>
      <c r="I18" s="11">
        <f t="shared" si="1"/>
        <v>1.8927892607143721</v>
      </c>
      <c r="J18" s="11">
        <f t="shared" si="2"/>
        <v>0.5</v>
      </c>
      <c r="K18" s="11">
        <f t="shared" si="3"/>
        <v>1.2920296742201793</v>
      </c>
      <c r="L18" s="11">
        <f t="shared" si="4"/>
        <v>0.38685280723454163</v>
      </c>
      <c r="M18" s="11">
        <f t="shared" si="14"/>
        <v>3.3927892607143724</v>
      </c>
      <c r="N18" s="11">
        <f t="shared" si="7"/>
        <v>5.0716717421690936</v>
      </c>
      <c r="O18" s="2">
        <f t="shared" si="15"/>
        <v>3</v>
      </c>
      <c r="P18" s="2">
        <f t="shared" si="8"/>
        <v>1.8927892607143721</v>
      </c>
      <c r="Q18" s="2">
        <f t="shared" si="9"/>
        <v>0.5</v>
      </c>
      <c r="R18" s="2">
        <f t="shared" si="10"/>
        <v>0.43067655807339306</v>
      </c>
      <c r="S18" s="2">
        <f t="shared" si="11"/>
        <v>0.38685280723454163</v>
      </c>
      <c r="T18" s="2">
        <f t="shared" si="5"/>
        <v>5.3927892607143724</v>
      </c>
      <c r="U18" s="2">
        <f t="shared" si="12"/>
        <v>6.2103186260223069</v>
      </c>
      <c r="V18" s="2" t="str">
        <f t="shared" si="6"/>
        <v>3,3927 / 5,3927</v>
      </c>
      <c r="W18" s="9">
        <v>0.62913440460770698</v>
      </c>
      <c r="X18" s="2" t="str">
        <f t="shared" si="13"/>
        <v>5,0716 / 6,2103</v>
      </c>
      <c r="Y18" s="9">
        <v>0.81665242116852299</v>
      </c>
    </row>
    <row r="19" spans="1:25" ht="26.4" x14ac:dyDescent="0.3">
      <c r="A19" s="5" t="s">
        <v>208</v>
      </c>
      <c r="B19" s="6" t="s">
        <v>209</v>
      </c>
      <c r="C19" s="5">
        <v>2</v>
      </c>
      <c r="D19" s="5">
        <v>1</v>
      </c>
      <c r="E19" s="5">
        <v>0</v>
      </c>
      <c r="F19" s="5">
        <v>0</v>
      </c>
      <c r="G19" s="5">
        <v>1</v>
      </c>
      <c r="H19" s="12">
        <f t="shared" si="0"/>
        <v>3</v>
      </c>
      <c r="I19" s="12">
        <f t="shared" si="1"/>
        <v>0.63092975357145742</v>
      </c>
      <c r="J19" s="12">
        <f t="shared" si="2"/>
        <v>0</v>
      </c>
      <c r="K19" s="12">
        <f t="shared" si="3"/>
        <v>0</v>
      </c>
      <c r="L19" s="12">
        <f t="shared" si="4"/>
        <v>0.38685280723454163</v>
      </c>
      <c r="M19" s="12">
        <f t="shared" si="14"/>
        <v>3.6309297535714573</v>
      </c>
      <c r="N19" s="12">
        <f t="shared" si="7"/>
        <v>4.0177825608059994</v>
      </c>
      <c r="O19" s="5">
        <f t="shared" si="15"/>
        <v>3</v>
      </c>
      <c r="P19" s="5">
        <f t="shared" si="8"/>
        <v>0.63092975357145742</v>
      </c>
      <c r="Q19" s="5">
        <f t="shared" si="9"/>
        <v>0.5</v>
      </c>
      <c r="R19" s="5">
        <f t="shared" si="10"/>
        <v>0</v>
      </c>
      <c r="S19" s="5">
        <f t="shared" si="11"/>
        <v>0</v>
      </c>
      <c r="T19" s="5">
        <f t="shared" si="5"/>
        <v>4.1309297535714578</v>
      </c>
      <c r="U19" s="5">
        <f t="shared" si="12"/>
        <v>4.1309297535714578</v>
      </c>
      <c r="V19" s="5" t="str">
        <f t="shared" si="6"/>
        <v>3,6309 / 4,1309</v>
      </c>
      <c r="W19" s="10">
        <v>0.87896187303409901</v>
      </c>
      <c r="X19" s="5" t="str">
        <f t="shared" si="13"/>
        <v>4,0177 / 4,1309</v>
      </c>
      <c r="Y19" s="10">
        <v>0.972609751432438</v>
      </c>
    </row>
    <row r="20" spans="1:25" ht="26.4" x14ac:dyDescent="0.3">
      <c r="A20" s="2" t="s">
        <v>220</v>
      </c>
      <c r="B20" s="3" t="s">
        <v>221</v>
      </c>
      <c r="C20" s="2">
        <v>2</v>
      </c>
      <c r="D20" s="2">
        <v>2</v>
      </c>
      <c r="E20" s="2">
        <v>1</v>
      </c>
      <c r="F20" s="2">
        <v>1</v>
      </c>
      <c r="G20" s="2">
        <v>1</v>
      </c>
      <c r="H20" s="11">
        <f t="shared" si="0"/>
        <v>3</v>
      </c>
      <c r="I20" s="11">
        <f t="shared" si="1"/>
        <v>1.8927892607143721</v>
      </c>
      <c r="J20" s="11">
        <f t="shared" si="2"/>
        <v>0.5</v>
      </c>
      <c r="K20" s="11">
        <f t="shared" si="3"/>
        <v>0.43067655807339306</v>
      </c>
      <c r="L20" s="11">
        <f t="shared" si="4"/>
        <v>0.38685280723454163</v>
      </c>
      <c r="M20" s="11">
        <f t="shared" si="14"/>
        <v>5.3927892607143724</v>
      </c>
      <c r="N20" s="11">
        <f t="shared" si="7"/>
        <v>6.2103186260223069</v>
      </c>
      <c r="O20" s="2">
        <f t="shared" si="15"/>
        <v>3</v>
      </c>
      <c r="P20" s="2">
        <f t="shared" si="8"/>
        <v>1.8927892607143721</v>
      </c>
      <c r="Q20" s="2">
        <f t="shared" si="9"/>
        <v>0.5</v>
      </c>
      <c r="R20" s="2">
        <f t="shared" si="10"/>
        <v>0.43067655807339306</v>
      </c>
      <c r="S20" s="2">
        <f t="shared" si="11"/>
        <v>0.38685280723454163</v>
      </c>
      <c r="T20" s="2">
        <f t="shared" si="5"/>
        <v>5.3927892607143724</v>
      </c>
      <c r="U20" s="2">
        <f t="shared" si="12"/>
        <v>6.2103186260223069</v>
      </c>
      <c r="V20" s="2" t="str">
        <f t="shared" si="6"/>
        <v>5,3927 / 5,3927</v>
      </c>
      <c r="W20" s="9">
        <v>1</v>
      </c>
      <c r="X20" s="2" t="str">
        <f t="shared" si="13"/>
        <v>6,2103 / 6,2103</v>
      </c>
      <c r="Y20" s="9">
        <v>1</v>
      </c>
    </row>
    <row r="21" spans="1:25" ht="26.4" x14ac:dyDescent="0.3">
      <c r="A21" s="5" t="s">
        <v>232</v>
      </c>
      <c r="B21" s="6" t="s">
        <v>233</v>
      </c>
      <c r="C21" s="5">
        <v>1</v>
      </c>
      <c r="D21" s="5">
        <v>0</v>
      </c>
      <c r="E21" s="5">
        <v>1</v>
      </c>
      <c r="F21" s="5">
        <v>0</v>
      </c>
      <c r="G21" s="5">
        <v>0</v>
      </c>
      <c r="H21" s="12">
        <f t="shared" si="0"/>
        <v>1</v>
      </c>
      <c r="I21" s="12">
        <f t="shared" si="1"/>
        <v>0</v>
      </c>
      <c r="J21" s="12">
        <f t="shared" si="2"/>
        <v>0.5</v>
      </c>
      <c r="K21" s="12">
        <f t="shared" si="3"/>
        <v>0</v>
      </c>
      <c r="L21" s="12">
        <f t="shared" si="4"/>
        <v>0</v>
      </c>
      <c r="M21" s="12">
        <f t="shared" si="14"/>
        <v>1.5</v>
      </c>
      <c r="N21" s="12">
        <f t="shared" si="7"/>
        <v>1.5</v>
      </c>
      <c r="O21" s="5">
        <f t="shared" si="15"/>
        <v>1</v>
      </c>
      <c r="P21" s="5">
        <f t="shared" si="8"/>
        <v>0.63092975357145742</v>
      </c>
      <c r="Q21" s="5">
        <f t="shared" si="9"/>
        <v>0</v>
      </c>
      <c r="R21" s="5">
        <f t="shared" si="10"/>
        <v>0</v>
      </c>
      <c r="S21" s="5">
        <f t="shared" si="11"/>
        <v>0</v>
      </c>
      <c r="T21" s="5">
        <f t="shared" si="5"/>
        <v>1.6309297535714573</v>
      </c>
      <c r="U21" s="5">
        <f t="shared" si="12"/>
        <v>1.6309297535714573</v>
      </c>
      <c r="V21" s="5" t="str">
        <f t="shared" si="6"/>
        <v>1,5 / 1,6309</v>
      </c>
      <c r="W21" s="10">
        <v>0.919720789148188</v>
      </c>
      <c r="X21" s="5" t="str">
        <f t="shared" si="13"/>
        <v>1,5 / 1,6309</v>
      </c>
      <c r="Y21" s="10">
        <v>0.919720789148188</v>
      </c>
    </row>
    <row r="22" spans="1:25" ht="26.4" x14ac:dyDescent="0.3">
      <c r="A22" s="2" t="s">
        <v>242</v>
      </c>
      <c r="B22" s="3" t="s">
        <v>243</v>
      </c>
      <c r="C22" s="2">
        <v>2</v>
      </c>
      <c r="D22" s="2">
        <v>1</v>
      </c>
      <c r="E22" s="2">
        <v>0</v>
      </c>
      <c r="F22" s="2">
        <v>2</v>
      </c>
      <c r="G22" s="2">
        <v>1</v>
      </c>
      <c r="H22" s="11">
        <f t="shared" si="0"/>
        <v>3</v>
      </c>
      <c r="I22" s="11">
        <f t="shared" si="1"/>
        <v>0.63092975357145742</v>
      </c>
      <c r="J22" s="11">
        <f t="shared" si="2"/>
        <v>0</v>
      </c>
      <c r="K22" s="11">
        <f t="shared" si="3"/>
        <v>1.2920296742201793</v>
      </c>
      <c r="L22" s="11">
        <f t="shared" si="4"/>
        <v>0.38685280723454163</v>
      </c>
      <c r="M22" s="11">
        <f t="shared" si="14"/>
        <v>3.6309297535714573</v>
      </c>
      <c r="N22" s="11">
        <f t="shared" si="7"/>
        <v>5.3098122350261781</v>
      </c>
      <c r="O22" s="2">
        <f t="shared" si="15"/>
        <v>3</v>
      </c>
      <c r="P22" s="2">
        <f t="shared" si="8"/>
        <v>1.8927892607143721</v>
      </c>
      <c r="Q22" s="2">
        <f t="shared" si="9"/>
        <v>0.5</v>
      </c>
      <c r="R22" s="2">
        <f t="shared" si="10"/>
        <v>0.43067655807339306</v>
      </c>
      <c r="S22" s="2">
        <f t="shared" si="11"/>
        <v>0</v>
      </c>
      <c r="T22" s="2">
        <f t="shared" si="5"/>
        <v>5.3927892607143724</v>
      </c>
      <c r="U22" s="2">
        <f t="shared" si="12"/>
        <v>5.8234658187877653</v>
      </c>
      <c r="V22" s="2" t="str">
        <f t="shared" si="6"/>
        <v>3,6309 / 5,3927</v>
      </c>
      <c r="W22" s="9">
        <v>0.67329346244293498</v>
      </c>
      <c r="X22" s="2" t="str">
        <f t="shared" si="13"/>
        <v>5,3098 / 5,8234</v>
      </c>
      <c r="Y22" s="9">
        <v>0.91179589616471501</v>
      </c>
    </row>
    <row r="23" spans="1:25" ht="26.4" x14ac:dyDescent="0.3">
      <c r="A23" s="5" t="s">
        <v>254</v>
      </c>
      <c r="B23" s="6" t="s">
        <v>255</v>
      </c>
      <c r="C23" s="5">
        <v>2</v>
      </c>
      <c r="D23" s="5">
        <v>0</v>
      </c>
      <c r="E23" s="5">
        <v>1</v>
      </c>
      <c r="F23" s="5">
        <v>0</v>
      </c>
      <c r="G23" s="5">
        <v>0</v>
      </c>
      <c r="H23" s="12">
        <f t="shared" si="0"/>
        <v>3</v>
      </c>
      <c r="I23" s="12">
        <f t="shared" si="1"/>
        <v>0</v>
      </c>
      <c r="J23" s="12">
        <f t="shared" si="2"/>
        <v>0.5</v>
      </c>
      <c r="K23" s="12">
        <f t="shared" si="3"/>
        <v>0</v>
      </c>
      <c r="L23" s="12">
        <f t="shared" si="4"/>
        <v>0</v>
      </c>
      <c r="M23" s="12">
        <f t="shared" si="14"/>
        <v>3.5</v>
      </c>
      <c r="N23" s="12">
        <f t="shared" si="7"/>
        <v>3.5</v>
      </c>
      <c r="O23" s="5">
        <f t="shared" si="15"/>
        <v>3</v>
      </c>
      <c r="P23" s="5">
        <f t="shared" si="8"/>
        <v>0.63092975357145742</v>
      </c>
      <c r="Q23" s="5">
        <f t="shared" si="9"/>
        <v>0</v>
      </c>
      <c r="R23" s="5">
        <f t="shared" si="10"/>
        <v>0</v>
      </c>
      <c r="S23" s="5">
        <f t="shared" si="11"/>
        <v>0</v>
      </c>
      <c r="T23" s="5">
        <f t="shared" si="5"/>
        <v>3.6309297535714573</v>
      </c>
      <c r="U23" s="5">
        <f t="shared" si="12"/>
        <v>3.6309297535714573</v>
      </c>
      <c r="V23" s="5" t="str">
        <f t="shared" si="6"/>
        <v>3,5 / 3,6309</v>
      </c>
      <c r="W23" s="10">
        <v>0.96394043331665302</v>
      </c>
      <c r="X23" s="5" t="str">
        <f t="shared" si="13"/>
        <v>3,5 / 3,6309</v>
      </c>
      <c r="Y23" s="10">
        <v>0.96394043331665302</v>
      </c>
    </row>
    <row r="24" spans="1:25" ht="26.4" x14ac:dyDescent="0.3">
      <c r="A24" s="2" t="s">
        <v>266</v>
      </c>
      <c r="B24" s="3" t="s">
        <v>267</v>
      </c>
      <c r="C24" s="2">
        <v>2</v>
      </c>
      <c r="D24" s="2">
        <v>1</v>
      </c>
      <c r="E24" s="2">
        <v>0</v>
      </c>
      <c r="F24" s="2">
        <v>0</v>
      </c>
      <c r="G24" s="2">
        <v>0</v>
      </c>
      <c r="H24" s="11">
        <f t="shared" si="0"/>
        <v>3</v>
      </c>
      <c r="I24" s="11">
        <f t="shared" si="1"/>
        <v>0.63092975357145742</v>
      </c>
      <c r="J24" s="11">
        <f t="shared" si="2"/>
        <v>0</v>
      </c>
      <c r="K24" s="11">
        <f t="shared" si="3"/>
        <v>0</v>
      </c>
      <c r="L24" s="11">
        <f t="shared" si="4"/>
        <v>0</v>
      </c>
      <c r="M24" s="11">
        <f t="shared" si="14"/>
        <v>3.6309297535714573</v>
      </c>
      <c r="N24" s="11">
        <f t="shared" si="7"/>
        <v>3.6309297535714573</v>
      </c>
      <c r="O24" s="2">
        <f t="shared" si="15"/>
        <v>3</v>
      </c>
      <c r="P24" s="2">
        <f t="shared" si="8"/>
        <v>0.63092975357145742</v>
      </c>
      <c r="Q24" s="2">
        <f t="shared" si="9"/>
        <v>0</v>
      </c>
      <c r="R24" s="2">
        <f t="shared" si="10"/>
        <v>0</v>
      </c>
      <c r="S24" s="2">
        <f t="shared" si="11"/>
        <v>0</v>
      </c>
      <c r="T24" s="2">
        <f t="shared" si="5"/>
        <v>3.6309297535714573</v>
      </c>
      <c r="U24" s="2">
        <f t="shared" si="12"/>
        <v>3.6309297535714573</v>
      </c>
      <c r="V24" s="2" t="str">
        <f t="shared" si="6"/>
        <v>3,6309 / 3,6309</v>
      </c>
      <c r="W24" s="9">
        <v>1</v>
      </c>
      <c r="X24" s="2" t="str">
        <f t="shared" si="13"/>
        <v>3,6309 / 3,6309</v>
      </c>
      <c r="Y24" s="9">
        <v>1</v>
      </c>
    </row>
    <row r="25" spans="1:25" ht="26.4" x14ac:dyDescent="0.3">
      <c r="A25" s="5" t="s">
        <v>276</v>
      </c>
      <c r="B25" s="6" t="s">
        <v>277</v>
      </c>
      <c r="C25" s="5">
        <v>2</v>
      </c>
      <c r="D25" s="5">
        <v>1</v>
      </c>
      <c r="E25" s="5">
        <v>2</v>
      </c>
      <c r="F25" s="5">
        <v>2</v>
      </c>
      <c r="G25" s="5">
        <v>1</v>
      </c>
      <c r="H25" s="12">
        <f t="shared" si="0"/>
        <v>3</v>
      </c>
      <c r="I25" s="12">
        <f t="shared" si="1"/>
        <v>0.63092975357145742</v>
      </c>
      <c r="J25" s="12">
        <f t="shared" si="2"/>
        <v>1.5</v>
      </c>
      <c r="K25" s="12">
        <f t="shared" si="3"/>
        <v>1.2920296742201793</v>
      </c>
      <c r="L25" s="12">
        <f t="shared" si="4"/>
        <v>0.38685280723454163</v>
      </c>
      <c r="M25" s="12">
        <f t="shared" si="14"/>
        <v>5.1309297535714578</v>
      </c>
      <c r="N25" s="12">
        <f t="shared" si="7"/>
        <v>6.8098122350261789</v>
      </c>
      <c r="O25" s="5">
        <f t="shared" si="15"/>
        <v>3</v>
      </c>
      <c r="P25" s="5">
        <f t="shared" si="8"/>
        <v>1.8927892607143721</v>
      </c>
      <c r="Q25" s="5">
        <f t="shared" si="9"/>
        <v>1.5</v>
      </c>
      <c r="R25" s="5">
        <f t="shared" si="10"/>
        <v>0.43067655807339306</v>
      </c>
      <c r="S25" s="5">
        <f t="shared" si="11"/>
        <v>0.38685280723454163</v>
      </c>
      <c r="T25" s="5">
        <f t="shared" si="5"/>
        <v>6.3927892607143724</v>
      </c>
      <c r="U25" s="5">
        <f t="shared" si="12"/>
        <v>7.2103186260223069</v>
      </c>
      <c r="V25" s="5" t="str">
        <f t="shared" si="6"/>
        <v>5,1309 / 6,3927</v>
      </c>
      <c r="W25" s="10">
        <v>0.80261205935609004</v>
      </c>
      <c r="X25" s="5" t="str">
        <f t="shared" si="13"/>
        <v>6,8098 / 7,2103</v>
      </c>
      <c r="Y25" s="10">
        <v>0.94445371809913004</v>
      </c>
    </row>
    <row r="26" spans="1:25" x14ac:dyDescent="0.3">
      <c r="A26" s="2" t="s">
        <v>288</v>
      </c>
      <c r="B26" s="3" t="s">
        <v>289</v>
      </c>
      <c r="C26" s="2">
        <v>2</v>
      </c>
      <c r="D26" s="2">
        <v>1</v>
      </c>
      <c r="E26" s="2">
        <v>1</v>
      </c>
      <c r="F26" s="2">
        <v>1</v>
      </c>
      <c r="G26" s="2">
        <v>1</v>
      </c>
      <c r="H26" s="11">
        <f t="shared" si="0"/>
        <v>3</v>
      </c>
      <c r="I26" s="11">
        <f t="shared" si="1"/>
        <v>0.63092975357145742</v>
      </c>
      <c r="J26" s="11">
        <f t="shared" si="2"/>
        <v>0.5</v>
      </c>
      <c r="K26" s="11">
        <f t="shared" si="3"/>
        <v>0.43067655807339306</v>
      </c>
      <c r="L26" s="11">
        <f t="shared" si="4"/>
        <v>0.38685280723454163</v>
      </c>
      <c r="M26" s="11">
        <f t="shared" si="14"/>
        <v>4.1309297535714578</v>
      </c>
      <c r="N26" s="11">
        <f t="shared" si="7"/>
        <v>4.9484591188793923</v>
      </c>
      <c r="O26" s="2">
        <f t="shared" si="15"/>
        <v>3</v>
      </c>
      <c r="P26" s="2">
        <f t="shared" si="8"/>
        <v>0.63092975357145742</v>
      </c>
      <c r="Q26" s="2">
        <f t="shared" si="9"/>
        <v>0.5</v>
      </c>
      <c r="R26" s="2">
        <f t="shared" si="10"/>
        <v>0.43067655807339306</v>
      </c>
      <c r="S26" s="2">
        <f t="shared" si="11"/>
        <v>0.38685280723454163</v>
      </c>
      <c r="T26" s="2">
        <f t="shared" si="5"/>
        <v>4.1309297535714578</v>
      </c>
      <c r="U26" s="2">
        <f t="shared" si="12"/>
        <v>4.9484591188793923</v>
      </c>
      <c r="V26" s="2" t="str">
        <f t="shared" si="6"/>
        <v>4,1309 / 4,1309</v>
      </c>
      <c r="W26" s="9">
        <v>1</v>
      </c>
      <c r="X26" s="2" t="str">
        <f t="shared" si="13"/>
        <v>4,9484 / 4,9484</v>
      </c>
      <c r="Y26" s="9">
        <v>1</v>
      </c>
    </row>
    <row r="27" spans="1:25" x14ac:dyDescent="0.3">
      <c r="A27" s="5" t="s">
        <v>300</v>
      </c>
      <c r="B27" s="6" t="s">
        <v>301</v>
      </c>
      <c r="C27" s="5">
        <v>1</v>
      </c>
      <c r="D27" s="5">
        <v>0</v>
      </c>
      <c r="E27" s="5">
        <v>2</v>
      </c>
      <c r="F27" s="5">
        <v>1</v>
      </c>
      <c r="G27" s="5">
        <v>1</v>
      </c>
      <c r="H27" s="12">
        <f t="shared" si="0"/>
        <v>1</v>
      </c>
      <c r="I27" s="12">
        <f t="shared" si="1"/>
        <v>0</v>
      </c>
      <c r="J27" s="12">
        <f t="shared" si="2"/>
        <v>1.5</v>
      </c>
      <c r="K27" s="12">
        <f t="shared" si="3"/>
        <v>0.43067655807339306</v>
      </c>
      <c r="L27" s="12">
        <f t="shared" si="4"/>
        <v>0.38685280723454163</v>
      </c>
      <c r="M27" s="12">
        <f t="shared" si="14"/>
        <v>2.5</v>
      </c>
      <c r="N27" s="12">
        <f t="shared" si="7"/>
        <v>3.3175293653079345</v>
      </c>
      <c r="O27" s="5">
        <f t="shared" si="15"/>
        <v>3</v>
      </c>
      <c r="P27" s="5">
        <f t="shared" si="8"/>
        <v>0.63092975357145742</v>
      </c>
      <c r="Q27" s="5">
        <f t="shared" si="9"/>
        <v>0.5</v>
      </c>
      <c r="R27" s="5">
        <f t="shared" si="10"/>
        <v>0.43067655807339306</v>
      </c>
      <c r="S27" s="5">
        <f t="shared" si="11"/>
        <v>0</v>
      </c>
      <c r="T27" s="5">
        <f t="shared" si="5"/>
        <v>4.1309297535714578</v>
      </c>
      <c r="U27" s="5">
        <f t="shared" si="12"/>
        <v>4.5616063116448506</v>
      </c>
      <c r="V27" s="5" t="str">
        <f t="shared" si="6"/>
        <v>2,5 / 4,1309</v>
      </c>
      <c r="W27" s="10">
        <v>0.60519063482950497</v>
      </c>
      <c r="X27" s="5" t="str">
        <f t="shared" si="13"/>
        <v>3,3175 / 4,5616</v>
      </c>
      <c r="Y27" s="10">
        <v>0.72727217972295399</v>
      </c>
    </row>
    <row r="28" spans="1:25" x14ac:dyDescent="0.3">
      <c r="A28" s="2" t="s">
        <v>312</v>
      </c>
      <c r="B28" s="3" t="s">
        <v>313</v>
      </c>
      <c r="C28" s="2">
        <v>2</v>
      </c>
      <c r="D28" s="2">
        <v>1</v>
      </c>
      <c r="E28" s="2">
        <v>1</v>
      </c>
      <c r="F28" s="2">
        <v>1</v>
      </c>
      <c r="G28" s="2">
        <v>1</v>
      </c>
      <c r="H28" s="11">
        <f t="shared" si="0"/>
        <v>3</v>
      </c>
      <c r="I28" s="11">
        <f t="shared" si="1"/>
        <v>0.63092975357145742</v>
      </c>
      <c r="J28" s="11">
        <f t="shared" si="2"/>
        <v>0.5</v>
      </c>
      <c r="K28" s="11">
        <f t="shared" si="3"/>
        <v>0.43067655807339306</v>
      </c>
      <c r="L28" s="11">
        <f t="shared" si="4"/>
        <v>0.38685280723454163</v>
      </c>
      <c r="M28" s="11">
        <f t="shared" si="14"/>
        <v>4.1309297535714578</v>
      </c>
      <c r="N28" s="11">
        <f t="shared" si="7"/>
        <v>4.9484591188793923</v>
      </c>
      <c r="O28" s="2">
        <f t="shared" si="15"/>
        <v>3</v>
      </c>
      <c r="P28" s="2">
        <f t="shared" si="8"/>
        <v>0.63092975357145742</v>
      </c>
      <c r="Q28" s="2">
        <f t="shared" si="9"/>
        <v>0.5</v>
      </c>
      <c r="R28" s="2">
        <f t="shared" si="10"/>
        <v>0.43067655807339306</v>
      </c>
      <c r="S28" s="2">
        <f t="shared" si="11"/>
        <v>0.38685280723454163</v>
      </c>
      <c r="T28" s="2">
        <f t="shared" si="5"/>
        <v>4.1309297535714578</v>
      </c>
      <c r="U28" s="2">
        <f t="shared" si="12"/>
        <v>4.9484591188793923</v>
      </c>
      <c r="V28" s="2" t="str">
        <f t="shared" si="6"/>
        <v>4,1309 / 4,1309</v>
      </c>
      <c r="W28" s="9">
        <v>1</v>
      </c>
      <c r="X28" s="2" t="str">
        <f t="shared" si="13"/>
        <v>4,9484 / 4,9484</v>
      </c>
      <c r="Y28" s="9">
        <v>1</v>
      </c>
    </row>
    <row r="29" spans="1:25" x14ac:dyDescent="0.3">
      <c r="A29" s="5" t="s">
        <v>324</v>
      </c>
      <c r="B29" s="6" t="s">
        <v>325</v>
      </c>
      <c r="C29" s="5">
        <v>2</v>
      </c>
      <c r="D29" s="5">
        <v>0</v>
      </c>
      <c r="E29" s="5">
        <v>1</v>
      </c>
      <c r="F29" s="5">
        <v>1</v>
      </c>
      <c r="G29" s="5">
        <v>1</v>
      </c>
      <c r="H29" s="12">
        <f t="shared" si="0"/>
        <v>3</v>
      </c>
      <c r="I29" s="12">
        <f t="shared" si="1"/>
        <v>0</v>
      </c>
      <c r="J29" s="12">
        <f t="shared" si="2"/>
        <v>0.5</v>
      </c>
      <c r="K29" s="12">
        <f t="shared" si="3"/>
        <v>0.43067655807339306</v>
      </c>
      <c r="L29" s="12">
        <f t="shared" si="4"/>
        <v>0.38685280723454163</v>
      </c>
      <c r="M29" s="12">
        <f t="shared" si="14"/>
        <v>3.5</v>
      </c>
      <c r="N29" s="12">
        <f t="shared" si="7"/>
        <v>4.3175293653079345</v>
      </c>
      <c r="O29" s="5">
        <f t="shared" si="15"/>
        <v>3</v>
      </c>
      <c r="P29" s="5">
        <f t="shared" si="8"/>
        <v>0.63092975357145742</v>
      </c>
      <c r="Q29" s="5">
        <f t="shared" si="9"/>
        <v>0.5</v>
      </c>
      <c r="R29" s="5">
        <f t="shared" si="10"/>
        <v>0.43067655807339306</v>
      </c>
      <c r="S29" s="5">
        <f t="shared" si="11"/>
        <v>0</v>
      </c>
      <c r="T29" s="5">
        <f t="shared" si="5"/>
        <v>4.1309297535714578</v>
      </c>
      <c r="U29" s="5">
        <f t="shared" si="12"/>
        <v>4.5616063116448506</v>
      </c>
      <c r="V29" s="5" t="str">
        <f t="shared" si="6"/>
        <v>3,5 / 4,1309</v>
      </c>
      <c r="W29" s="10">
        <v>0.84726688876130696</v>
      </c>
      <c r="X29" s="5" t="str">
        <f t="shared" si="13"/>
        <v>4,3175 / 4,5616</v>
      </c>
      <c r="Y29" s="10">
        <v>0.94649320224898903</v>
      </c>
    </row>
    <row r="30" spans="1:25" x14ac:dyDescent="0.3">
      <c r="A30" s="2" t="s">
        <v>335</v>
      </c>
      <c r="B30" s="3" t="s">
        <v>336</v>
      </c>
      <c r="C30" s="2">
        <v>2</v>
      </c>
      <c r="D30" s="2">
        <v>0</v>
      </c>
      <c r="E30" s="2">
        <v>2</v>
      </c>
      <c r="F30" s="2">
        <v>1</v>
      </c>
      <c r="G30" s="2">
        <v>1</v>
      </c>
      <c r="H30" s="11">
        <f t="shared" si="0"/>
        <v>3</v>
      </c>
      <c r="I30" s="11">
        <f t="shared" si="1"/>
        <v>0</v>
      </c>
      <c r="J30" s="11">
        <f t="shared" si="2"/>
        <v>1.5</v>
      </c>
      <c r="K30" s="11">
        <f t="shared" si="3"/>
        <v>0.43067655807339306</v>
      </c>
      <c r="L30" s="11">
        <f t="shared" si="4"/>
        <v>0.38685280723454163</v>
      </c>
      <c r="M30" s="11">
        <f t="shared" si="14"/>
        <v>4.5</v>
      </c>
      <c r="N30" s="11">
        <f t="shared" si="7"/>
        <v>5.3175293653079345</v>
      </c>
      <c r="O30" s="2">
        <f t="shared" si="15"/>
        <v>3</v>
      </c>
      <c r="P30" s="2">
        <f t="shared" si="8"/>
        <v>1.8927892607143721</v>
      </c>
      <c r="Q30" s="2">
        <f t="shared" si="9"/>
        <v>0.5</v>
      </c>
      <c r="R30" s="2">
        <f t="shared" si="10"/>
        <v>0.43067655807339306</v>
      </c>
      <c r="S30" s="2">
        <f t="shared" si="11"/>
        <v>0</v>
      </c>
      <c r="T30" s="2">
        <f t="shared" si="5"/>
        <v>5.3927892607143724</v>
      </c>
      <c r="U30" s="2">
        <f t="shared" si="12"/>
        <v>5.8234658187877653</v>
      </c>
      <c r="V30" s="2" t="str">
        <f t="shared" si="6"/>
        <v>4,5 / 5,3927</v>
      </c>
      <c r="W30" s="9">
        <v>0.83444758963265997</v>
      </c>
      <c r="X30" s="2" t="str">
        <f t="shared" si="13"/>
        <v>5,3175 / 5,8234</v>
      </c>
      <c r="Y30" s="9">
        <v>0.91312107442142598</v>
      </c>
    </row>
    <row r="31" spans="1:25" ht="26.4" x14ac:dyDescent="0.3">
      <c r="A31" s="5" t="s">
        <v>346</v>
      </c>
      <c r="B31" s="6" t="s">
        <v>347</v>
      </c>
      <c r="C31" s="5">
        <v>2</v>
      </c>
      <c r="D31" s="5">
        <v>0</v>
      </c>
      <c r="E31" s="5">
        <v>1</v>
      </c>
      <c r="F31" s="5">
        <v>2</v>
      </c>
      <c r="G31" s="5">
        <v>0</v>
      </c>
      <c r="H31" s="12">
        <f t="shared" si="0"/>
        <v>3</v>
      </c>
      <c r="I31" s="12">
        <f t="shared" si="1"/>
        <v>0</v>
      </c>
      <c r="J31" s="12">
        <f t="shared" si="2"/>
        <v>0.5</v>
      </c>
      <c r="K31" s="12">
        <f t="shared" si="3"/>
        <v>1.2920296742201793</v>
      </c>
      <c r="L31" s="12">
        <f t="shared" si="4"/>
        <v>0</v>
      </c>
      <c r="M31" s="12">
        <f t="shared" si="14"/>
        <v>3.5</v>
      </c>
      <c r="N31" s="12">
        <f>H31+I31+J31+K31+L31</f>
        <v>4.7920296742201796</v>
      </c>
      <c r="O31" s="5">
        <f t="shared" si="15"/>
        <v>3</v>
      </c>
      <c r="P31" s="5">
        <f t="shared" si="8"/>
        <v>1.8927892607143721</v>
      </c>
      <c r="Q31" s="5">
        <f t="shared" si="9"/>
        <v>0.5</v>
      </c>
      <c r="R31" s="5">
        <f t="shared" si="10"/>
        <v>0</v>
      </c>
      <c r="S31" s="5">
        <f t="shared" si="11"/>
        <v>0</v>
      </c>
      <c r="T31" s="5">
        <f t="shared" si="5"/>
        <v>5.3927892607143724</v>
      </c>
      <c r="U31" s="5">
        <f t="shared" si="12"/>
        <v>5.3927892607143724</v>
      </c>
      <c r="V31" s="5" t="str">
        <f t="shared" si="6"/>
        <v>3,5 / 5,3927</v>
      </c>
      <c r="W31" s="10">
        <v>0.64901479193651301</v>
      </c>
      <c r="X31" s="5" t="str">
        <f t="shared" si="13"/>
        <v>4,7920 / 5,3927</v>
      </c>
      <c r="Y31" s="10">
        <v>0.88859946913360199</v>
      </c>
    </row>
  </sheetData>
  <autoFilter ref="A1:Y31" xr:uid="{00000000-0009-0000-0000-000001000000}"/>
  <phoneticPr fontId="4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 Justifikasi</vt:lpstr>
      <vt:lpstr>Kalkulasi Transparan</vt:lpstr>
      <vt:lpstr>Kalkulasi Transparan NDCG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Kelinci</cp:lastModifiedBy>
  <cp:revision>0</cp:revision>
  <cp:lastPrinted>2026-06-10T12:23:13Z</cp:lastPrinted>
  <dcterms:created xsi:type="dcterms:W3CDTF">2026-05-26T01:57:34Z</dcterms:created>
  <dcterms:modified xsi:type="dcterms:W3CDTF">2026-06-10T12:59:12Z</dcterms:modified>
  <dc:language>en-US</dc:language>
</cp:coreProperties>
</file>